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DEED79BC-C237-BF4E-9CD8-921AB1C50A11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Raw Data" sheetId="1" r:id="rId1"/>
    <sheet name="Cleaned Data" sheetId="5" r:id="rId2"/>
    <sheet name="Report &amp; Insights 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5" l="1"/>
  <c r="Q10" i="5"/>
  <c r="Q13" i="5"/>
  <c r="Q11" i="5"/>
  <c r="Q9" i="5"/>
  <c r="Q7" i="5"/>
  <c r="Q6" i="5"/>
  <c r="Q5" i="5"/>
</calcChain>
</file>

<file path=xl/sharedStrings.xml><?xml version="1.0" encoding="utf-8"?>
<sst xmlns="http://schemas.openxmlformats.org/spreadsheetml/2006/main" count="22119" uniqueCount="4764">
  <si>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</si>
  <si>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</si>
  <si>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</si>
  <si>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</si>
  <si>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</si>
  <si>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</si>
  <si>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</si>
  <si>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</si>
  <si>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</si>
  <si>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</si>
  <si>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</si>
  <si>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</si>
  <si>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</si>
  <si>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</si>
  <si>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</si>
  <si>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</si>
  <si>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</si>
  <si>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</si>
  <si>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</si>
  <si>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</si>
  <si>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</si>
  <si>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</si>
  <si>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</si>
  <si>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</si>
  <si>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</si>
  <si>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</si>
  <si>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</si>
  <si>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</si>
  <si>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</si>
  <si>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</si>
  <si>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</si>
  <si>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</si>
  <si>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</si>
  <si>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</si>
  <si>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</si>
  <si>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</si>
  <si>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</si>
  <si>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</si>
  <si>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</si>
  <si>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</si>
  <si>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</si>
  <si>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</si>
  <si>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</si>
  <si>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</si>
  <si>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</si>
  <si>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</si>
  <si>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</si>
  <si>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</si>
  <si>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</si>
  <si>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</si>
  <si>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</si>
  <si>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</si>
  <si>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</si>
  <si>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</si>
  <si>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</si>
  <si>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</si>
  <si>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</si>
  <si>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</si>
  <si>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</si>
  <si>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</si>
  <si>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</si>
  <si>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</si>
  <si>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</si>
  <si>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</si>
  <si>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</si>
  <si>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</si>
  <si>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</si>
  <si>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</si>
  <si>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</si>
  <si>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</si>
  <si>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</si>
  <si>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</si>
  <si>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</si>
  <si>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</si>
  <si>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</si>
  <si>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</si>
  <si>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</si>
  <si>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</si>
  <si>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</si>
  <si>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</si>
  <si>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</si>
  <si>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</si>
  <si>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</si>
  <si>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</si>
  <si>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</si>
  <si>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</si>
  <si>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</si>
  <si>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</si>
  <si>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</si>
  <si>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</si>
  <si>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</si>
  <si>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</si>
  <si>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</si>
  <si>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</si>
  <si>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</si>
  <si>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</si>
  <si>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</si>
  <si>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</si>
  <si>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</si>
  <si>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</si>
  <si>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</si>
  <si>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</si>
  <si>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</si>
  <si>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</si>
  <si>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</si>
  <si>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</si>
  <si>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</si>
  <si>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</si>
  <si>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</si>
  <si>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</si>
  <si>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</si>
  <si>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</si>
  <si>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</si>
  <si>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</si>
  <si>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</si>
  <si>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</si>
  <si>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</si>
  <si>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</si>
  <si>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</si>
  <si>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</si>
  <si>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</si>
  <si>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</si>
  <si>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</si>
  <si>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</si>
  <si>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</si>
  <si>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</si>
  <si>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</si>
  <si>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</si>
  <si>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</si>
  <si>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</si>
  <si>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</si>
  <si>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</si>
  <si>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</si>
  <si>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</si>
  <si>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</si>
  <si>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</si>
  <si>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</si>
  <si>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</si>
  <si>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</si>
  <si>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</si>
  <si>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</si>
  <si>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</si>
  <si>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</si>
  <si>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</si>
  <si>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</si>
  <si>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</si>
  <si>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</si>
  <si>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</si>
  <si>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</si>
  <si>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</si>
  <si>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</si>
  <si>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</si>
  <si>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</si>
  <si>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</si>
  <si>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</si>
  <si>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</si>
  <si>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</si>
  <si>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</si>
  <si>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</si>
  <si>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</si>
  <si>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</si>
  <si>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</si>
  <si>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</si>
  <si>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</si>
  <si>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</si>
  <si>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</si>
  <si>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</si>
  <si>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</si>
  <si>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</si>
  <si>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</si>
  <si>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</si>
  <si>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</si>
  <si>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</si>
  <si>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</si>
  <si>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</si>
  <si>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</si>
  <si>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</si>
  <si>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</si>
  <si>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</si>
  <si>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</si>
  <si>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</si>
  <si>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</si>
  <si>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</si>
  <si>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</si>
  <si>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</si>
  <si>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</si>
  <si>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</si>
  <si>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</si>
  <si>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</si>
  <si>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</si>
  <si>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</si>
  <si>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</si>
  <si>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</si>
  <si>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</si>
  <si>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</si>
  <si>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</si>
  <si>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</si>
  <si>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</si>
  <si>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</si>
  <si>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</si>
  <si>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</si>
  <si>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</si>
  <si>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</si>
  <si>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</si>
  <si>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</si>
  <si>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</si>
  <si>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</si>
  <si>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</si>
  <si>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</si>
  <si>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</si>
  <si>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</si>
  <si>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</si>
  <si>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</si>
  <si>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</si>
  <si>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</si>
  <si>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</si>
  <si>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</si>
  <si>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</si>
  <si>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</si>
  <si>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</si>
  <si>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</si>
  <si>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</si>
  <si>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</si>
  <si>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</si>
  <si>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</si>
  <si>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</si>
  <si>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</si>
  <si>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</si>
  <si>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</si>
  <si>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</si>
  <si>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</si>
  <si>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</si>
  <si>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</si>
  <si>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</si>
  <si>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</si>
  <si>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</si>
  <si>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</si>
  <si>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</si>
  <si>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</si>
  <si>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</si>
  <si>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</si>
  <si>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</si>
  <si>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</si>
  <si>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</si>
  <si>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</si>
  <si>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</si>
  <si>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</si>
  <si>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</si>
  <si>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</si>
  <si>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</si>
  <si>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</si>
  <si>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</si>
  <si>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</si>
  <si>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</si>
  <si>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</si>
  <si>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</si>
  <si>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</si>
  <si>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</si>
  <si>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</si>
  <si>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</si>
  <si>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</si>
  <si>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</si>
  <si>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</si>
  <si>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</si>
  <si>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</si>
  <si>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</si>
  <si>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</si>
  <si>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</si>
  <si>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</si>
  <si>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</si>
  <si>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</si>
  <si>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</si>
  <si>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</si>
  <si>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</si>
  <si>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</si>
  <si>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</si>
  <si>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</si>
  <si>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</si>
  <si>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</si>
  <si>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</si>
  <si>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</si>
  <si>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</si>
  <si>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</si>
  <si>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</si>
  <si>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</si>
  <si>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</si>
  <si>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</si>
  <si>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</si>
  <si>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</si>
  <si>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</si>
  <si>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</si>
  <si>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</si>
  <si>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</si>
  <si>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</si>
  <si>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</si>
  <si>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</si>
  <si>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</si>
  <si>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</si>
  <si>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</si>
  <si>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</si>
  <si>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</si>
  <si>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</si>
  <si>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</si>
  <si>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</si>
  <si>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</si>
  <si>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</si>
  <si>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</si>
  <si>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</si>
  <si>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</si>
  <si>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</si>
  <si>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</si>
  <si>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</si>
  <si>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</si>
  <si>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</si>
  <si>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</si>
  <si>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</si>
  <si>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</si>
  <si>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</si>
  <si>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</si>
  <si>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</si>
  <si>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</si>
  <si>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</si>
  <si>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</si>
  <si>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</si>
  <si>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</si>
  <si>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</si>
  <si>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</si>
  <si>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</si>
  <si>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</si>
  <si>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</si>
  <si>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</si>
  <si>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</si>
  <si>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</si>
  <si>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</si>
  <si>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</si>
  <si>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</si>
  <si>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</si>
  <si>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</si>
  <si>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</si>
  <si>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</si>
  <si>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</si>
  <si>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</si>
  <si>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</si>
  <si>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</si>
  <si>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</si>
  <si>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</si>
  <si>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</si>
  <si>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</si>
  <si>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</si>
  <si>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</si>
  <si>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</si>
  <si>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</si>
  <si>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</si>
  <si>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</si>
  <si>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</si>
  <si>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</si>
  <si>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</si>
  <si>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</si>
  <si>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</si>
  <si>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</si>
  <si>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</si>
  <si>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</si>
  <si>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</si>
  <si>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</si>
  <si>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</si>
  <si>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</si>
  <si>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</si>
  <si>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</si>
  <si>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</si>
  <si>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</si>
  <si>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</si>
  <si>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</si>
  <si>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</si>
  <si>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</si>
  <si>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</si>
  <si>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</si>
  <si>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</si>
  <si>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</si>
  <si>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</si>
  <si>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</si>
  <si>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</si>
  <si>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</si>
  <si>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</si>
  <si>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</si>
  <si>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</si>
  <si>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</si>
  <si>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</si>
  <si>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</si>
  <si>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</si>
  <si>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</si>
  <si>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</si>
  <si>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</si>
  <si>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</si>
  <si>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</si>
  <si>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</si>
  <si>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</si>
  <si>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</si>
  <si>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</si>
  <si>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</si>
  <si>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</si>
  <si>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</si>
  <si>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</si>
  <si>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</si>
  <si>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</si>
  <si>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</si>
  <si>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</si>
  <si>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</si>
  <si>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</si>
  <si>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</si>
  <si>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</si>
  <si>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</si>
  <si>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</si>
  <si>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</si>
  <si>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</si>
  <si>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</si>
  <si>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</si>
  <si>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</si>
  <si>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</si>
  <si>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</si>
  <si>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</si>
  <si>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</si>
  <si>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</si>
  <si>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</si>
  <si>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</si>
  <si>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</si>
  <si>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</si>
  <si>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</si>
  <si>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</si>
  <si>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</si>
  <si>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</si>
  <si>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</si>
  <si>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</si>
  <si>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</si>
  <si>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</si>
  <si>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</si>
  <si>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</si>
  <si>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</si>
  <si>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</si>
  <si>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</si>
  <si>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</si>
  <si>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</si>
  <si>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</si>
  <si>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</si>
  <si>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</si>
  <si>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</si>
  <si>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</si>
  <si>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</si>
  <si>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</si>
  <si>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</si>
  <si>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</si>
  <si>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</si>
  <si>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</si>
  <si>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</si>
  <si>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</si>
  <si>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</si>
  <si>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</si>
  <si>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</si>
  <si>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</si>
  <si>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</si>
  <si>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</si>
  <si>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</si>
  <si>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</si>
  <si>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</si>
  <si>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</si>
  <si>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</si>
  <si>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</si>
  <si>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</si>
  <si>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</si>
  <si>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</si>
  <si>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</si>
  <si>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</si>
  <si>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</si>
  <si>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</si>
  <si>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</si>
  <si>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</si>
  <si>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</si>
  <si>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</si>
  <si>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</si>
  <si>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</si>
  <si>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</si>
  <si>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</si>
  <si>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</si>
  <si>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</si>
  <si>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</si>
  <si>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</si>
  <si>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</si>
  <si>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</si>
  <si>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</si>
  <si>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</si>
  <si>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</si>
  <si>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</si>
  <si>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</si>
  <si>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</si>
  <si>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</si>
  <si>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</si>
  <si>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</si>
  <si>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</si>
  <si>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</si>
  <si>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</si>
  <si>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</si>
  <si>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</si>
  <si>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</si>
  <si>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</si>
  <si>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</si>
  <si>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</si>
  <si>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</si>
  <si>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</si>
  <si>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</si>
  <si>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</si>
  <si>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</si>
  <si>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</si>
  <si>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</si>
  <si>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</si>
  <si>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</si>
  <si>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</si>
  <si>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</si>
  <si>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</si>
  <si>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</si>
  <si>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</si>
  <si>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</si>
  <si>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</si>
  <si>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</si>
  <si>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</si>
  <si>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</si>
  <si>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</si>
  <si>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</si>
  <si>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</si>
  <si>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</si>
  <si>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</si>
  <si>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</si>
  <si>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</si>
  <si>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</si>
  <si>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</si>
  <si>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</si>
  <si>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</si>
  <si>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</si>
  <si>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</si>
  <si>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</si>
  <si>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</si>
  <si>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</si>
  <si>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</si>
  <si>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</si>
  <si>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</si>
  <si>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</si>
  <si>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</si>
  <si>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</si>
  <si>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</si>
  <si>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</si>
  <si>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</si>
  <si>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</si>
  <si>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</si>
  <si>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</si>
  <si>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</si>
  <si>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</si>
  <si>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</si>
  <si>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</si>
  <si>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</si>
  <si>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</si>
  <si>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</si>
  <si>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</si>
  <si>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</si>
  <si>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</si>
  <si>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</si>
  <si>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</si>
  <si>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</si>
  <si>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</si>
  <si>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</si>
  <si>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</si>
  <si>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</si>
  <si>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</si>
  <si>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</si>
  <si>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</si>
  <si>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</si>
  <si>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</si>
  <si>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</si>
  <si>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</si>
  <si>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</si>
  <si>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</si>
  <si>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</si>
  <si>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</si>
  <si>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</si>
  <si>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</si>
  <si>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</si>
  <si>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</si>
  <si>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</si>
  <si>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</si>
  <si>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</si>
  <si>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</si>
  <si>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</si>
  <si>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</si>
  <si>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</si>
  <si>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</si>
  <si>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</si>
  <si>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</si>
  <si>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</si>
  <si>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</si>
  <si>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</si>
  <si>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</si>
  <si>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</si>
  <si>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</si>
  <si>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</si>
  <si>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</si>
  <si>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</si>
  <si>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</si>
  <si>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</si>
  <si>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</si>
  <si>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</si>
  <si>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</si>
  <si>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</si>
  <si>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</si>
  <si>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</si>
  <si>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</si>
  <si>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</si>
  <si>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</si>
  <si>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</si>
  <si>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</si>
  <si>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</si>
  <si>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</si>
  <si>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</si>
  <si>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</si>
  <si>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</si>
  <si>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</si>
  <si>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</si>
  <si>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</si>
  <si>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</si>
  <si>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</si>
  <si>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</si>
  <si>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</si>
  <si>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</si>
  <si>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</si>
  <si>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</si>
  <si>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</si>
  <si>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</si>
  <si>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</si>
  <si>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</si>
  <si>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</si>
  <si>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</si>
  <si>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</si>
  <si>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</si>
  <si>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</si>
  <si>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</si>
  <si>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</si>
  <si>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</si>
  <si>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</si>
  <si>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</si>
  <si>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</si>
  <si>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</si>
  <si>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</si>
  <si>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</si>
  <si>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</si>
  <si>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</si>
  <si>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</si>
  <si>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</si>
  <si>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</si>
  <si>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</si>
  <si>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</si>
  <si>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</si>
  <si>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</si>
  <si>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</si>
  <si>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</si>
  <si>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</si>
  <si>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</si>
  <si>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</si>
  <si>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</si>
  <si>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</si>
  <si>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</si>
  <si>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</si>
  <si>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</si>
  <si>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</si>
  <si>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</si>
  <si>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</si>
  <si>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</si>
  <si>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</si>
  <si>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</si>
  <si>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</si>
  <si>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</si>
  <si>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</si>
  <si>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</si>
  <si>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</si>
  <si>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</si>
  <si>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</si>
  <si>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</si>
  <si>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</si>
  <si>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</si>
  <si>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</si>
  <si>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</si>
  <si>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</si>
  <si>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</si>
  <si>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</si>
  <si>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</si>
  <si>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</si>
  <si>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</si>
  <si>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</si>
  <si>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</si>
  <si>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</si>
  <si>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</si>
  <si>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</si>
  <si>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</si>
  <si>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</si>
  <si>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</si>
  <si>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</si>
  <si>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</si>
  <si>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</si>
  <si>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</si>
  <si>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</si>
  <si>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</si>
  <si>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</si>
  <si>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</si>
  <si>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</si>
  <si>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</si>
  <si>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</si>
  <si>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</si>
  <si>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</si>
  <si>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</si>
  <si>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</si>
  <si>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</si>
  <si>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</si>
  <si>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</si>
  <si>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</si>
  <si>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</si>
  <si>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</si>
  <si>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</si>
  <si>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</si>
  <si>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</si>
  <si>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</si>
  <si>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</si>
  <si>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</si>
  <si>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</si>
  <si>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</si>
  <si>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</si>
  <si>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</si>
  <si>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</si>
  <si>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</si>
  <si>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</si>
  <si>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</si>
  <si>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</si>
  <si>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</si>
  <si>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</si>
  <si>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</si>
  <si>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</si>
  <si>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</si>
  <si>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</si>
  <si>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</si>
  <si>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</si>
  <si>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</si>
  <si>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</si>
  <si>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</si>
  <si>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</si>
  <si>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</si>
  <si>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</si>
  <si>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</si>
  <si>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</si>
  <si>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</si>
  <si>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</si>
  <si>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</si>
  <si>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</si>
  <si>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</si>
  <si>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</si>
  <si>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</si>
  <si>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</si>
  <si>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</si>
  <si>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</si>
  <si>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</si>
  <si>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</si>
  <si>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</si>
  <si>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</si>
  <si>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</si>
  <si>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</si>
  <si>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</si>
  <si>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</si>
  <si>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</si>
  <si>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</si>
  <si>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</si>
  <si>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</si>
  <si>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</si>
  <si>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</si>
  <si>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</si>
  <si>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</si>
  <si>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</si>
  <si>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</si>
  <si>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</si>
  <si>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</si>
  <si>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</si>
  <si>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</si>
  <si>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</si>
  <si>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</si>
  <si>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</si>
  <si>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</si>
  <si>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</si>
  <si>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</si>
  <si>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</si>
  <si>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</si>
  <si>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</si>
  <si>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</si>
  <si>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</si>
  <si>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</si>
  <si>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</si>
  <si>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</si>
  <si>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</si>
  <si>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</si>
  <si>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</si>
  <si>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</si>
  <si>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</si>
  <si>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</si>
  <si>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</si>
  <si>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</si>
  <si>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</si>
  <si>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</si>
  <si>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</si>
  <si>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</si>
  <si>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</si>
  <si>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</si>
  <si>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</si>
  <si>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</si>
  <si>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</si>
  <si>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</si>
  <si>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</si>
  <si>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</si>
  <si>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</si>
  <si>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</si>
  <si>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</si>
  <si>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</si>
  <si>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</si>
  <si>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</si>
  <si>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</si>
  <si>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</si>
  <si>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</si>
  <si>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</si>
  <si>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</si>
  <si>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</si>
  <si>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</si>
  <si>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</si>
  <si>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</si>
  <si>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</si>
  <si>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</si>
  <si>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</si>
  <si>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</si>
  <si>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</si>
  <si>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</si>
  <si>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</si>
  <si>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</si>
  <si>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</si>
  <si>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</si>
  <si>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</si>
  <si>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</si>
  <si>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</si>
  <si>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</si>
  <si>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</si>
  <si>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</si>
  <si>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</si>
  <si>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</si>
  <si>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</si>
  <si>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</si>
  <si>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</si>
  <si>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</si>
  <si>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</si>
  <si>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</si>
  <si>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</si>
  <si>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</si>
  <si>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</si>
  <si>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</si>
  <si>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</si>
  <si>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</si>
  <si>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</si>
  <si>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</si>
  <si>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</si>
  <si>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</si>
  <si>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</si>
  <si>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</si>
  <si>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</si>
  <si>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</si>
  <si>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</si>
  <si>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</si>
  <si>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</si>
  <si>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</si>
  <si>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</si>
  <si>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</si>
  <si>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</si>
  <si>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</si>
  <si>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</si>
  <si>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</si>
  <si>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</si>
  <si>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</si>
  <si>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</si>
  <si>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</si>
  <si>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</si>
  <si>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</si>
  <si>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</si>
  <si>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</si>
  <si>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</si>
  <si>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</si>
  <si>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</si>
  <si>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</si>
  <si>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</si>
  <si>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</si>
  <si>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</si>
  <si>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</si>
  <si>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</si>
  <si>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</si>
  <si>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</si>
  <si>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</si>
  <si>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</si>
  <si>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</si>
  <si>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</si>
  <si>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</si>
  <si>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</si>
  <si>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</si>
  <si>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</si>
  <si>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</si>
  <si>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</si>
  <si>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</si>
  <si>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</si>
  <si>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</si>
  <si>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</si>
  <si>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</si>
  <si>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</si>
  <si>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</si>
  <si>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</si>
  <si>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</si>
  <si>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</si>
  <si>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</si>
  <si>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</si>
  <si>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</si>
  <si>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</si>
  <si>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</si>
  <si>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</si>
  <si>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</si>
  <si>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</si>
  <si>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</si>
  <si>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</si>
  <si>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</si>
  <si>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</si>
  <si>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</si>
  <si>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</si>
  <si>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</si>
  <si>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</si>
  <si>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</si>
  <si>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</si>
  <si>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</si>
  <si>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</si>
  <si>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</si>
  <si>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</si>
  <si>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</si>
  <si>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</si>
  <si>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</si>
  <si>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</si>
  <si>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</si>
  <si>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</si>
  <si>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</si>
  <si>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</si>
  <si>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</si>
  <si>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</si>
  <si>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</si>
  <si>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</si>
  <si>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</si>
  <si>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</si>
  <si>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</si>
  <si>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</si>
  <si>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</si>
  <si>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</si>
  <si>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</si>
  <si>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</si>
  <si>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</si>
  <si>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</si>
  <si>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</si>
  <si>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</si>
  <si>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</si>
  <si>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</si>
  <si>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</si>
  <si>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</si>
  <si>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</si>
  <si>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</si>
  <si>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</si>
  <si>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</si>
  <si>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</si>
  <si>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</si>
  <si>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</si>
  <si>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</si>
  <si>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</si>
  <si>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</si>
  <si>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</si>
  <si>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</si>
  <si>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</si>
  <si>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</si>
  <si>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</si>
  <si>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</si>
  <si>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</si>
  <si>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</si>
  <si>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</si>
  <si>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</si>
  <si>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</si>
  <si>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</si>
  <si>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</si>
  <si>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</si>
  <si>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</si>
  <si>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</si>
  <si>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</si>
  <si>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</si>
  <si>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</si>
  <si>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</si>
  <si>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</si>
  <si>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</si>
  <si>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</si>
  <si>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</si>
  <si>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</si>
  <si>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</si>
  <si>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</si>
  <si>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</si>
  <si>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</si>
  <si>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</si>
  <si>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</si>
  <si>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</si>
  <si>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</si>
  <si>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</si>
  <si>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</si>
  <si>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</si>
  <si>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</si>
  <si>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</si>
  <si>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</si>
  <si>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</si>
  <si>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</si>
  <si>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</si>
  <si>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</si>
  <si>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</si>
  <si>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</si>
  <si>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</si>
  <si>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</si>
  <si>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</si>
  <si>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</si>
  <si>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</si>
  <si>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</si>
  <si>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</si>
  <si>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</si>
  <si>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</si>
  <si>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</si>
  <si>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</si>
  <si>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</si>
  <si>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</si>
  <si>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</si>
  <si>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</si>
  <si>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</si>
  <si>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</si>
  <si>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</si>
  <si>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</si>
  <si>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</si>
  <si>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</si>
  <si>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</si>
  <si>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</si>
  <si>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</si>
  <si>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</si>
  <si>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</si>
  <si>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</si>
  <si>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</si>
  <si>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</si>
  <si>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</si>
  <si>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</si>
  <si>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</si>
  <si>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</si>
  <si>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</si>
  <si>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</si>
  <si>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</si>
  <si>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</si>
  <si>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</si>
  <si>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</si>
  <si>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</si>
  <si>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</si>
  <si>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</si>
  <si>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</si>
  <si>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</si>
  <si>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</si>
  <si>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</si>
  <si>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</si>
  <si>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</si>
  <si>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</si>
  <si>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</si>
  <si>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</si>
  <si>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</si>
  <si>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</si>
  <si>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</si>
  <si>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</si>
  <si>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</si>
  <si>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</si>
  <si>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</si>
  <si>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</si>
  <si>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</si>
  <si>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</si>
  <si>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</si>
  <si>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</si>
  <si>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</si>
  <si>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</si>
  <si>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</si>
  <si>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</si>
  <si>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</si>
  <si>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</si>
  <si>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</si>
  <si>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</si>
  <si>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</si>
  <si>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</si>
  <si>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</si>
  <si>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</si>
  <si>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</si>
  <si>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</si>
  <si>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</si>
  <si>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</si>
  <si>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</si>
  <si>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</si>
  <si>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</si>
  <si>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</si>
  <si>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</si>
  <si>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</si>
  <si>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</si>
  <si>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</si>
  <si>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</si>
  <si>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</si>
  <si>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</si>
  <si>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</si>
  <si>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</si>
  <si>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</si>
  <si>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</si>
  <si>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</si>
  <si>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</si>
  <si>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</si>
  <si>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</si>
  <si>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</si>
  <si>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</si>
  <si>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</si>
  <si>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</si>
  <si>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</si>
  <si>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</si>
  <si>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</si>
  <si>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</si>
  <si>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</si>
  <si>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</si>
  <si>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</si>
  <si>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</si>
  <si>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</si>
  <si>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</si>
  <si>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</si>
  <si>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</si>
  <si>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</si>
  <si>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</si>
  <si>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</si>
  <si>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</si>
  <si>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</si>
  <si>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</si>
  <si>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</si>
  <si>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</si>
  <si>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</si>
  <si>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</si>
  <si>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</si>
  <si>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</si>
  <si>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</si>
  <si>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</si>
  <si>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</si>
  <si>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</si>
  <si>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</si>
  <si>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</si>
  <si>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</si>
  <si>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</si>
  <si>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</si>
  <si>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</si>
  <si>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</si>
  <si>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</si>
  <si>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</si>
  <si>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</si>
  <si>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</si>
  <si>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</si>
  <si>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</si>
  <si>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</si>
  <si>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</si>
  <si>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</si>
  <si>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</si>
  <si>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</si>
  <si>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</si>
  <si>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</si>
  <si>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</si>
  <si>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</si>
  <si>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</si>
  <si>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</si>
  <si>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</si>
  <si>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</si>
  <si>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</si>
  <si>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</si>
  <si>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</si>
  <si>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</si>
  <si>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</si>
  <si>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</si>
  <si>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</si>
  <si>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</si>
  <si>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</si>
  <si>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</si>
  <si>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</si>
  <si>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</si>
  <si>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</si>
  <si>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</si>
  <si>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</si>
  <si>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</si>
  <si>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</si>
  <si>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</si>
  <si>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</si>
  <si>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</si>
  <si>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</si>
  <si>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</si>
  <si>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</si>
  <si>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</si>
  <si>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</si>
  <si>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</si>
  <si>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</si>
  <si>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</si>
  <si>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</si>
  <si>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</si>
  <si>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</si>
  <si>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</si>
  <si>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</si>
  <si>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</si>
  <si>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</si>
  <si>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</si>
  <si>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</si>
  <si>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</si>
  <si>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</si>
  <si>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</si>
  <si>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</si>
  <si>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</si>
  <si>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</si>
  <si>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</si>
  <si>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</si>
  <si>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</si>
  <si>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</si>
  <si>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</si>
  <si>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</si>
  <si>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</si>
  <si>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</si>
  <si>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</si>
  <si>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</si>
  <si>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</si>
  <si>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</si>
  <si>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</si>
  <si>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</si>
  <si>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</si>
  <si>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</si>
  <si>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</si>
  <si>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</si>
  <si>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</si>
  <si>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</si>
  <si>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</si>
  <si>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</si>
  <si>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</si>
  <si>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</si>
  <si>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</si>
  <si>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</si>
  <si>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</si>
  <si>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</si>
  <si>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</si>
  <si>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</si>
  <si>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</si>
  <si>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</si>
  <si>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</si>
  <si>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</si>
  <si>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</si>
  <si>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</si>
  <si>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</si>
  <si>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</si>
  <si>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</si>
  <si>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</si>
  <si>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</si>
  <si>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</si>
  <si>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</si>
  <si>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</si>
  <si>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</si>
  <si>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</si>
  <si>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</si>
  <si>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</si>
  <si>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</si>
  <si>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</si>
  <si>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</si>
  <si>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</si>
  <si>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</si>
  <si>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</si>
  <si>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</si>
  <si>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</si>
  <si>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</si>
  <si>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</si>
  <si>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</si>
  <si>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</si>
  <si>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</si>
  <si>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</si>
  <si>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</si>
  <si>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</si>
  <si>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</si>
  <si>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</si>
  <si>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</si>
  <si>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</si>
  <si>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</si>
  <si>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</si>
  <si>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</si>
  <si>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</si>
  <si>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</si>
  <si>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</si>
  <si>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</si>
  <si>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</si>
  <si>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</si>
  <si>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</si>
  <si>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</si>
  <si>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</si>
  <si>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</si>
  <si>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</si>
  <si>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</si>
  <si>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</si>
  <si>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</si>
  <si>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</si>
  <si>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</si>
  <si>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</si>
  <si>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</si>
  <si>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</si>
  <si>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</si>
  <si>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</si>
  <si>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</si>
  <si>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</si>
  <si>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</si>
  <si>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</si>
  <si>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</si>
  <si>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</si>
  <si>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</si>
  <si>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</si>
  <si>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</si>
  <si>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</si>
  <si>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</si>
  <si>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</si>
  <si>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</si>
  <si>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</si>
  <si>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</si>
  <si>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</si>
  <si>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</si>
  <si>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</si>
  <si>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</si>
  <si>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</si>
  <si>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</si>
  <si>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</si>
  <si>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</si>
  <si>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</si>
  <si>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</si>
  <si>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</si>
  <si>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</si>
  <si>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</si>
  <si>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</si>
  <si>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</si>
  <si>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</si>
  <si>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</si>
  <si>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</si>
  <si>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</si>
  <si>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</si>
  <si>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</si>
  <si>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</si>
  <si>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</si>
  <si>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</si>
  <si>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</si>
  <si>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</si>
  <si>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</si>
  <si>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</si>
  <si>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</si>
  <si>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</si>
  <si>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</si>
  <si>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</si>
  <si>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</si>
  <si>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</si>
  <si>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</si>
  <si>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</si>
  <si>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</si>
  <si>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</si>
  <si>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</si>
  <si>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</si>
  <si>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</si>
  <si>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</si>
  <si>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</si>
  <si>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</si>
  <si>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</si>
  <si>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</si>
  <si>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</si>
  <si>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</si>
  <si>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</si>
  <si>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</si>
  <si>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</si>
  <si>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</si>
  <si>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</si>
  <si>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</si>
  <si>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</si>
  <si>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</si>
  <si>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</si>
  <si>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</si>
  <si>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</si>
  <si>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</si>
  <si>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</si>
  <si>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</si>
  <si>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</si>
  <si>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</si>
  <si>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</si>
  <si>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</si>
  <si>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</si>
  <si>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</si>
  <si>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</si>
  <si>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</si>
  <si>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</si>
  <si>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</si>
  <si>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</si>
  <si>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</si>
  <si>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</si>
  <si>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</si>
  <si>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</si>
  <si>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</si>
  <si>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</si>
  <si>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</si>
  <si>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</si>
  <si>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</si>
  <si>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</si>
  <si>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</si>
  <si>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</si>
  <si>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</si>
  <si>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</si>
  <si>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</si>
  <si>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</si>
  <si>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</si>
  <si>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</si>
  <si>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</si>
  <si>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</si>
  <si>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</si>
  <si>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</si>
  <si>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</si>
  <si>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</si>
  <si>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</si>
  <si>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</si>
  <si>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</si>
  <si>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</si>
  <si>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</si>
  <si>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</si>
  <si>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</si>
  <si>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</si>
  <si>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</si>
  <si>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</si>
  <si>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</si>
  <si>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</si>
  <si>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</si>
  <si>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</si>
  <si>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</si>
  <si>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</si>
  <si>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</si>
  <si>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</si>
  <si>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</si>
  <si>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</si>
  <si>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</si>
  <si>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</si>
  <si>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</si>
  <si>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</si>
  <si>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</si>
  <si>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</si>
  <si>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</si>
  <si>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</si>
  <si>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</si>
  <si>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</si>
  <si>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</si>
  <si>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</si>
  <si>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</si>
  <si>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</si>
  <si>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</si>
  <si>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</si>
  <si>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</si>
  <si>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</si>
  <si>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</si>
  <si>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</si>
  <si>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</si>
  <si>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</si>
  <si>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</si>
  <si>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</si>
  <si>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</si>
  <si>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</si>
  <si>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</si>
  <si>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</si>
  <si>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</si>
  <si>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</si>
  <si>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</si>
  <si>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</si>
  <si>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</si>
  <si>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</si>
  <si>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</si>
  <si>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</si>
  <si>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</si>
  <si>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</si>
  <si>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</si>
  <si>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</si>
  <si>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</si>
  <si>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</si>
  <si>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</si>
  <si>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</si>
  <si>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</si>
  <si>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</si>
  <si>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</si>
  <si>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</si>
  <si>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</si>
  <si>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</si>
  <si>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</si>
  <si>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</si>
  <si>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</si>
  <si>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</si>
  <si>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</si>
  <si>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</si>
  <si>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</si>
  <si>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</si>
  <si>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</si>
  <si>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</si>
  <si>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</si>
  <si>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</si>
  <si>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</si>
  <si>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</si>
  <si>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</si>
  <si>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</si>
  <si>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</si>
  <si>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</si>
  <si>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</si>
  <si>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</si>
  <si>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</si>
  <si>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</si>
  <si>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</si>
  <si>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</si>
  <si>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</si>
  <si>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</si>
  <si>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</si>
  <si>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</si>
  <si>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</si>
  <si>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</si>
  <si>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</si>
  <si>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</si>
  <si>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</si>
  <si>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</si>
  <si>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</si>
  <si>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</si>
  <si>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</si>
  <si>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</si>
  <si>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</si>
  <si>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</si>
  <si>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</si>
  <si>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</si>
  <si>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</si>
  <si>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</si>
  <si>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</si>
  <si>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</si>
  <si>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</si>
  <si>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</si>
  <si>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</si>
  <si>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</si>
  <si>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</si>
  <si>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</si>
  <si>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</si>
  <si>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</si>
  <si>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</si>
  <si>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</si>
  <si>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</si>
  <si>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</si>
  <si>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</si>
  <si>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</si>
  <si>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</si>
  <si>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</si>
  <si>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</si>
  <si>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</si>
  <si>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</si>
  <si>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</si>
  <si>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</si>
  <si>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</si>
  <si>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</si>
  <si>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</si>
  <si>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</si>
  <si>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</si>
  <si>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</si>
  <si>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</si>
  <si>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</si>
  <si>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</si>
  <si>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</si>
  <si>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</si>
  <si>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</si>
  <si>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</si>
  <si>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</si>
  <si>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</si>
  <si>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</si>
  <si>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</si>
  <si>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</si>
  <si>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</si>
  <si>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</si>
  <si>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</si>
  <si>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</si>
  <si>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</si>
  <si>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</si>
  <si>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</si>
  <si>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</si>
  <si>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</si>
  <si>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</si>
  <si>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</si>
  <si>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</si>
  <si>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</si>
  <si>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</si>
  <si>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</si>
  <si>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</si>
  <si>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</si>
  <si>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</si>
  <si>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</si>
  <si>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</si>
  <si>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</si>
  <si>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</si>
  <si>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</si>
  <si>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</si>
  <si>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</si>
  <si>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</si>
  <si>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</si>
  <si>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</si>
  <si>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</si>
  <si>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</si>
  <si>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</si>
  <si>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</si>
  <si>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</si>
  <si>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</si>
  <si>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</si>
  <si>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</si>
  <si>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</si>
  <si>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</si>
  <si>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</si>
  <si>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</si>
  <si>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</si>
  <si>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</si>
  <si>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</si>
  <si>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</si>
  <si>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</si>
  <si>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</si>
  <si>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</si>
  <si>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</si>
  <si>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</si>
  <si>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</si>
  <si>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</si>
  <si>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</si>
  <si>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</si>
  <si>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</si>
  <si>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</si>
  <si>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</si>
  <si>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</si>
  <si>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</si>
  <si>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</si>
  <si>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</si>
  <si>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</si>
  <si>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</si>
  <si>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</si>
  <si>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</si>
  <si>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</si>
  <si>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</si>
  <si>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</si>
  <si>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</si>
  <si>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</si>
  <si>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</si>
  <si>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</si>
  <si>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</si>
  <si>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</si>
  <si>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</si>
  <si>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</si>
  <si>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</si>
  <si>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</si>
  <si>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</si>
  <si>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</si>
  <si>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</si>
  <si>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</si>
  <si>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</si>
  <si>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</si>
  <si>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</si>
  <si>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</si>
  <si>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</si>
  <si>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</si>
  <si>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</si>
  <si>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</si>
  <si>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</si>
  <si>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</si>
  <si>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</si>
  <si>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</si>
  <si>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</si>
  <si>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</si>
  <si>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</si>
  <si>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</si>
  <si>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</si>
  <si>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</si>
  <si>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</si>
  <si>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</si>
  <si>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</si>
  <si>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</si>
  <si>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</si>
  <si>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</si>
  <si>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</si>
  <si>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</si>
  <si>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</si>
  <si>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</si>
  <si>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</si>
  <si>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</si>
  <si>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</si>
  <si>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</si>
  <si>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</si>
  <si>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</si>
  <si>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</si>
  <si>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</si>
  <si>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</si>
  <si>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</si>
  <si>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</si>
  <si>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</si>
  <si>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</si>
  <si>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</si>
  <si>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</si>
  <si>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</si>
  <si>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</si>
  <si>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</si>
  <si>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</si>
  <si>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</si>
  <si>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</si>
  <si>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</si>
  <si>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</si>
  <si>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</si>
  <si>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</si>
  <si>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</si>
  <si>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</si>
  <si>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</si>
  <si>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</si>
  <si>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</si>
  <si>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</si>
  <si>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</si>
  <si>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</si>
  <si>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</si>
  <si>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</si>
  <si>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</si>
  <si>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</si>
  <si>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</si>
  <si>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</si>
  <si>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</si>
  <si>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</si>
  <si>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</si>
  <si>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</si>
  <si>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</si>
  <si>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</si>
  <si>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</si>
  <si>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</si>
  <si>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</si>
  <si>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</si>
  <si>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</si>
  <si>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</si>
  <si>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</si>
  <si>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</si>
  <si>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</si>
  <si>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</si>
  <si>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</si>
  <si>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</si>
  <si>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</si>
  <si>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</si>
  <si>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</si>
  <si>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</si>
  <si>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</si>
  <si>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</si>
  <si>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</si>
  <si>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</si>
  <si>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</si>
  <si>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</si>
  <si>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</si>
  <si>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</si>
  <si>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</si>
  <si>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</si>
  <si>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</si>
  <si>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</si>
  <si>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</si>
  <si>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</si>
  <si>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</si>
  <si>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</si>
  <si>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</si>
  <si>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</si>
  <si>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</si>
  <si>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</si>
  <si>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</si>
  <si>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</si>
  <si>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</si>
  <si>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</si>
  <si>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</si>
  <si>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</si>
  <si>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</si>
  <si>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</si>
  <si>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</si>
  <si>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</si>
  <si>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</si>
  <si>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</si>
  <si>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</si>
  <si>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</si>
  <si>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</si>
  <si>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</si>
  <si>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</si>
  <si>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</si>
  <si>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</si>
  <si>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</si>
  <si>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</si>
  <si>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</si>
  <si>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</si>
  <si>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</si>
  <si>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</si>
  <si>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</si>
  <si>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</si>
  <si>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</si>
  <si>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</si>
  <si>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</si>
  <si>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</si>
  <si>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</si>
  <si>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</si>
  <si>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</si>
  <si>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</si>
  <si>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</si>
  <si>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</si>
  <si>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</si>
  <si>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</si>
  <si>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</si>
  <si>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</si>
  <si>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</si>
  <si>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</si>
  <si>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</si>
  <si>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</si>
  <si>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</si>
  <si>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</si>
  <si>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</si>
  <si>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</si>
  <si>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</si>
  <si>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</si>
  <si>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</si>
  <si>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</si>
  <si>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</si>
  <si>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</si>
  <si>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</si>
  <si>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</si>
  <si>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</si>
  <si>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</si>
  <si>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</si>
  <si>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</si>
  <si>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</si>
  <si>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</si>
  <si>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</si>
  <si>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</si>
  <si>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</si>
  <si>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</si>
  <si>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</si>
  <si>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</si>
  <si>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</si>
  <si>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</si>
  <si>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</si>
  <si>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</si>
  <si>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</si>
  <si>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</si>
  <si>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</si>
  <si>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</si>
  <si>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</si>
  <si>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</si>
  <si>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</si>
  <si>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</si>
  <si>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</si>
  <si>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</si>
  <si>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</si>
  <si>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</si>
  <si>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</si>
  <si>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</si>
  <si>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</si>
  <si>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</si>
  <si>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</si>
  <si>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</si>
  <si>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</si>
  <si>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</si>
  <si>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</si>
  <si>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</si>
  <si>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</si>
  <si>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</si>
  <si>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</si>
  <si>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</si>
  <si>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</si>
  <si>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</si>
  <si>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</si>
  <si>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</si>
  <si>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</si>
  <si>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</si>
  <si>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</si>
  <si>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</si>
  <si>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</si>
  <si>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</si>
  <si>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</si>
  <si>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</si>
  <si>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</si>
  <si>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</si>
  <si>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</si>
  <si>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</si>
  <si>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</si>
  <si>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</si>
  <si>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</si>
  <si>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</si>
  <si>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</si>
  <si>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</si>
  <si>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</si>
  <si>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</si>
  <si>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</si>
  <si>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</si>
  <si>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</si>
  <si>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</si>
  <si>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</si>
  <si>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</si>
  <si>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</si>
  <si>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</si>
  <si>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</si>
  <si>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</si>
  <si>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</si>
  <si>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</si>
  <si>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</si>
  <si>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</si>
  <si>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</si>
  <si>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</si>
  <si>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</si>
  <si>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</si>
  <si>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</si>
  <si>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</si>
  <si>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</si>
  <si>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</si>
  <si>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</si>
  <si>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</si>
  <si>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</si>
  <si>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</si>
  <si>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</si>
  <si>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</si>
  <si>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</si>
  <si>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</si>
  <si>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</si>
  <si>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</si>
  <si>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</si>
  <si>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</si>
  <si>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</si>
  <si>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</si>
  <si>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</si>
  <si>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</si>
  <si>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</si>
  <si>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</si>
  <si>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</si>
  <si>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</si>
  <si>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</si>
  <si>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</si>
  <si>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</si>
  <si>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</si>
  <si>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</si>
  <si>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</si>
  <si>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</si>
  <si>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</si>
  <si>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</si>
  <si>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</si>
  <si>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</si>
  <si>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</si>
  <si>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</si>
  <si>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</si>
  <si>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</si>
  <si>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</si>
  <si>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</si>
  <si>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</si>
  <si>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</si>
  <si>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</si>
  <si>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</si>
  <si>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</si>
  <si>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</si>
  <si>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</si>
  <si>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</si>
  <si>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</si>
  <si>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</si>
  <si>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</si>
  <si>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</si>
  <si>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</si>
  <si>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</si>
  <si>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</si>
  <si>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</si>
  <si>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</si>
  <si>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</si>
  <si>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</si>
  <si>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</si>
  <si>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</si>
  <si>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</si>
  <si>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</si>
  <si>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</si>
  <si>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</si>
  <si>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</si>
  <si>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</si>
  <si>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</si>
  <si>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</si>
  <si>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</si>
  <si>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</si>
  <si>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</si>
  <si>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</si>
  <si>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</si>
  <si>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</si>
  <si>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</si>
  <si>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</si>
  <si>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</si>
  <si>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</si>
  <si>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</si>
  <si>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</si>
  <si>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</si>
  <si>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</si>
  <si>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</si>
  <si>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</si>
  <si>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</si>
  <si>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</si>
  <si>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</si>
  <si>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</si>
  <si>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</si>
  <si>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</si>
  <si>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</si>
  <si>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</si>
  <si>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</si>
  <si>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</si>
  <si>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</si>
  <si>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</si>
  <si>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</si>
  <si>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</si>
  <si>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</si>
  <si>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</si>
  <si>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</si>
  <si>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</si>
  <si>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</si>
  <si>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</si>
  <si>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</si>
  <si>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</si>
  <si>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</si>
  <si>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</si>
  <si>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</si>
  <si>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</si>
  <si>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</si>
  <si>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</si>
  <si>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</si>
  <si>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</si>
  <si>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</si>
  <si>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</si>
  <si>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</si>
  <si>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</si>
  <si>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</si>
  <si>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</si>
  <si>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</si>
  <si>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</si>
  <si>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</si>
  <si>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</si>
  <si>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</si>
  <si>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</si>
  <si>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</si>
  <si>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</si>
  <si>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</si>
  <si>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</si>
  <si>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</si>
  <si>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</si>
  <si>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</si>
  <si>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</si>
  <si>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</si>
  <si>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</si>
  <si>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</si>
  <si>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</si>
  <si>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</si>
  <si>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</si>
  <si>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</si>
  <si>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</si>
  <si>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</si>
  <si>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</si>
  <si>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</si>
  <si>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</si>
  <si>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</si>
  <si>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</si>
  <si>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</si>
  <si>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</si>
  <si>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</si>
  <si>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</si>
  <si>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</si>
  <si>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</si>
  <si>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</si>
  <si>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</si>
  <si>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</si>
  <si>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</si>
  <si>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</si>
  <si>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</si>
  <si>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</si>
  <si>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</si>
  <si>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</si>
  <si>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</si>
  <si>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</si>
  <si>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</si>
  <si>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</si>
  <si>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</si>
  <si>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</si>
  <si>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</si>
  <si>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</si>
  <si>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</si>
  <si>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</si>
  <si>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</si>
  <si>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</si>
  <si>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</si>
  <si>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</si>
  <si>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</si>
  <si>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</si>
  <si>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</si>
  <si>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</si>
  <si>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</si>
  <si>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</si>
  <si>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</si>
  <si>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</si>
  <si>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</si>
  <si>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</si>
  <si>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</si>
  <si>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</si>
  <si>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</si>
  <si>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</si>
  <si>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</si>
  <si>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</si>
  <si>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</si>
  <si>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</si>
  <si>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</si>
  <si>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</si>
  <si>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</si>
  <si>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</si>
  <si>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</si>
  <si>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</si>
  <si>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</si>
  <si>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</si>
  <si>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</si>
  <si>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</si>
  <si>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</si>
  <si>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</si>
  <si>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</si>
  <si>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</si>
  <si>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</si>
  <si>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</si>
  <si>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</si>
  <si>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</si>
  <si>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</si>
  <si>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</si>
  <si>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</si>
  <si>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</si>
  <si>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</si>
  <si>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</si>
  <si>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</si>
  <si>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</si>
  <si>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</si>
  <si>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</si>
  <si>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</si>
  <si>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</si>
  <si>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</si>
  <si>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</si>
  <si>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</si>
  <si>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</si>
  <si>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</si>
  <si>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</si>
  <si>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</si>
  <si>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</si>
  <si>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</si>
  <si>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</si>
  <si>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</si>
  <si>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</si>
  <si>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</si>
  <si>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</si>
  <si>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</si>
  <si>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</si>
  <si>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</si>
  <si>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</si>
  <si>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</si>
  <si>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</si>
  <si>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</si>
  <si>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</si>
  <si>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</si>
  <si>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</si>
  <si>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</si>
  <si>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</si>
  <si>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</si>
  <si>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</si>
  <si>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</si>
  <si>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</si>
  <si>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</si>
  <si>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</si>
  <si>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</si>
  <si>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</si>
  <si>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</si>
  <si>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</si>
  <si>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</si>
  <si>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</si>
  <si>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</si>
  <si>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</si>
  <si>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</si>
  <si>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</si>
  <si>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</si>
  <si>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</si>
  <si>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</si>
  <si>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</si>
  <si>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</si>
  <si>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</si>
  <si>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</si>
  <si>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</si>
  <si>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</si>
  <si>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</si>
  <si>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</si>
  <si>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</si>
  <si>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</si>
  <si>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</si>
  <si>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</si>
  <si>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</si>
  <si>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</si>
  <si>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</si>
  <si>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</si>
  <si>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</si>
  <si>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</si>
  <si>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</si>
  <si>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</si>
  <si>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</si>
  <si>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</si>
  <si>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</si>
  <si>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</si>
  <si>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</si>
  <si>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</si>
  <si>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</si>
  <si>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</si>
  <si>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</si>
  <si>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</si>
  <si>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</si>
  <si>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</si>
  <si>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</si>
  <si>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</si>
  <si>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</si>
  <si>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</si>
  <si>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</si>
  <si>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</si>
  <si>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</si>
  <si>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</si>
  <si>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</si>
  <si>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</si>
  <si>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</si>
  <si>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</si>
  <si>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</si>
  <si>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</si>
  <si>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</si>
  <si>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</si>
  <si>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</si>
  <si>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</si>
  <si>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</si>
  <si>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</si>
  <si>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</si>
  <si>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</si>
  <si>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</si>
  <si>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</si>
  <si>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</si>
  <si>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</si>
  <si>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</si>
  <si>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</si>
  <si>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</si>
  <si>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</si>
  <si>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</si>
  <si>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</si>
  <si>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</si>
  <si>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</si>
  <si>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</si>
  <si>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</si>
  <si>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</si>
  <si>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</si>
  <si>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</si>
  <si>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</si>
  <si>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</si>
  <si>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</si>
  <si>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</si>
  <si>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</si>
  <si>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</si>
  <si>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</si>
  <si>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</si>
  <si>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</si>
  <si>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</si>
  <si>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</si>
  <si>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</si>
  <si>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</si>
  <si>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</si>
  <si>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</si>
  <si>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</si>
  <si>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</si>
  <si>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</si>
  <si>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</si>
  <si>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</si>
  <si>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</si>
  <si>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</si>
  <si>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</si>
  <si>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</si>
  <si>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</si>
  <si>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</si>
  <si>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</si>
  <si>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</si>
  <si>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</si>
  <si>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</si>
  <si>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</si>
  <si>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</si>
  <si>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</si>
  <si>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</si>
  <si>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</si>
  <si>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</si>
  <si>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</si>
  <si>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</si>
  <si>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</si>
  <si>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</si>
  <si>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</si>
  <si>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</si>
  <si>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</si>
  <si>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</si>
  <si>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</si>
  <si>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</si>
  <si>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</si>
  <si>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</si>
  <si>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</si>
  <si>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</si>
  <si>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</si>
  <si>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</si>
  <si>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</si>
  <si>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</si>
  <si>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</si>
  <si>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</si>
  <si>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</si>
  <si>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</si>
  <si>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</si>
  <si>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</si>
  <si>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</si>
  <si>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</si>
  <si>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</si>
  <si>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</si>
  <si>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</si>
  <si>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</si>
  <si>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</si>
  <si>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</si>
  <si>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</si>
  <si>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</si>
  <si>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</si>
  <si>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</si>
  <si>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</si>
  <si>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</si>
  <si>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</si>
  <si>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</si>
  <si>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</si>
  <si>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</si>
  <si>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</si>
  <si>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</si>
  <si>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</si>
  <si>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</si>
  <si>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</si>
  <si>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</si>
  <si>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</si>
  <si>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</si>
  <si>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</si>
  <si>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</si>
  <si>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</si>
  <si>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</si>
  <si>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</si>
  <si>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</si>
  <si>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</si>
  <si>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</si>
  <si>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</si>
  <si>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</si>
  <si>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</si>
  <si>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</si>
  <si>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</si>
  <si>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</si>
  <si>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</si>
  <si>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</si>
  <si>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</si>
  <si>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</si>
  <si>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</si>
  <si>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</si>
  <si>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</si>
  <si>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</si>
  <si>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</si>
  <si>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</si>
  <si>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</si>
  <si>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</si>
  <si>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</si>
  <si>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</si>
  <si>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</si>
  <si>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</si>
  <si>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</si>
  <si>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</si>
  <si>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</si>
  <si>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</si>
  <si>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</si>
  <si>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</si>
  <si>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</si>
  <si>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</si>
  <si>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</si>
  <si>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</si>
  <si>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</si>
  <si>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</si>
  <si>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</si>
  <si>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</si>
  <si>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</si>
  <si>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</si>
  <si>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</si>
  <si>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</si>
  <si>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</si>
  <si>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</si>
  <si>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</si>
  <si>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</si>
  <si>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</si>
  <si>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</si>
  <si>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</si>
  <si>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</si>
  <si>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</si>
  <si>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</si>
  <si>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</si>
  <si>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</si>
  <si>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</si>
  <si>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</si>
  <si>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</si>
  <si>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</si>
  <si>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</si>
  <si>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</si>
  <si>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</si>
  <si>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</si>
  <si>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</si>
  <si>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</si>
  <si>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</si>
  <si>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</si>
  <si>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</si>
  <si>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</si>
  <si>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</si>
  <si>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</si>
  <si>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</si>
  <si>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</si>
  <si>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</si>
  <si>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</si>
  <si>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</si>
  <si>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</si>
  <si>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</si>
  <si>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</si>
  <si>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</si>
  <si>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</si>
  <si>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</si>
  <si>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</si>
  <si>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</si>
  <si>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</si>
  <si>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</si>
  <si>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</si>
  <si>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</si>
  <si>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</si>
  <si>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</si>
  <si>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</si>
  <si>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</si>
  <si>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</si>
  <si>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</si>
  <si>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</si>
  <si>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</si>
  <si>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</si>
  <si>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</si>
  <si>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</si>
  <si>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</si>
  <si>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</si>
  <si>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</si>
  <si>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</si>
  <si>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</si>
  <si>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</si>
  <si>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</si>
  <si>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</si>
  <si>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</si>
  <si>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</si>
  <si>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</si>
  <si>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</si>
  <si>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</si>
  <si>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</si>
  <si>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</si>
  <si>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</si>
  <si>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</si>
  <si>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</si>
  <si>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</si>
  <si>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</si>
  <si>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</si>
  <si>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</si>
  <si>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</si>
  <si>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</si>
  <si>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</si>
  <si>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</si>
  <si>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</si>
  <si>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</si>
  <si>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</si>
  <si>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</si>
  <si>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</si>
  <si>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</si>
  <si>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</si>
  <si>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</si>
  <si>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</si>
  <si>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</si>
  <si>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</si>
  <si>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</si>
  <si>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</si>
  <si>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</si>
  <si>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</si>
  <si>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</si>
  <si>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</si>
  <si>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</si>
  <si>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</si>
  <si>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</si>
  <si>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</si>
  <si>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</si>
  <si>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</si>
  <si>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</si>
  <si>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</si>
  <si>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</si>
  <si>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</si>
  <si>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</si>
  <si>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</si>
  <si>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</si>
  <si>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</si>
  <si>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</si>
  <si>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</si>
  <si>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</si>
  <si>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</si>
  <si>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</si>
  <si>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</si>
  <si>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</si>
  <si>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</si>
  <si>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</si>
  <si>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</si>
  <si>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</si>
  <si>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</si>
  <si>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</si>
  <si>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</si>
  <si>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</si>
  <si>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</si>
  <si>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</si>
  <si>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</si>
  <si>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</si>
  <si>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</si>
  <si>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</si>
  <si>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</si>
  <si>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</si>
  <si>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</si>
  <si>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</si>
  <si>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</si>
  <si>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</si>
  <si>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</si>
  <si>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</si>
  <si>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</si>
  <si>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</si>
  <si>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</si>
  <si>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</si>
  <si>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</si>
  <si>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</si>
  <si>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</si>
  <si>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</si>
  <si>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</si>
  <si>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</si>
  <si>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</si>
  <si>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</si>
  <si>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</si>
  <si>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</si>
  <si>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</si>
  <si>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</si>
  <si>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</si>
  <si>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</si>
  <si>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</si>
  <si>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</si>
  <si>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</si>
  <si>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</si>
  <si>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</si>
  <si>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</si>
  <si>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</si>
  <si>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</si>
  <si>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</si>
  <si>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</si>
  <si>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</si>
  <si>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</si>
  <si>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</si>
  <si>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</si>
  <si>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</si>
  <si>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</si>
  <si>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</si>
  <si>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</si>
  <si>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</si>
  <si>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</si>
  <si>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</si>
  <si>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</si>
  <si>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</si>
  <si>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</si>
  <si>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</si>
  <si>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</si>
  <si>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</si>
  <si>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</si>
  <si>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</si>
  <si>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</si>
  <si>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</si>
  <si>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</si>
  <si>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</si>
  <si>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</si>
  <si>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</si>
  <si>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</si>
  <si>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</si>
  <si>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</si>
  <si>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</si>
  <si>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</si>
  <si>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</si>
  <si>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</si>
  <si>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</si>
  <si>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</si>
  <si>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</si>
  <si>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</si>
  <si>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</si>
  <si>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</si>
  <si>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</si>
  <si>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</si>
  <si>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</si>
  <si>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</si>
  <si>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</si>
  <si>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</si>
  <si>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</si>
  <si>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</si>
  <si>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</si>
  <si>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</si>
  <si>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</si>
  <si>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</si>
  <si>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</si>
  <si>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</si>
  <si>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</si>
  <si>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</si>
  <si>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</si>
  <si>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</si>
  <si>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</si>
  <si>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</si>
  <si>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</si>
  <si>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</si>
  <si>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</si>
  <si>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</si>
  <si>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</si>
  <si>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</si>
  <si>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</si>
  <si>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</si>
  <si>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</si>
  <si>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</si>
  <si>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</si>
  <si>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</si>
  <si>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</si>
  <si>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</si>
  <si>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</si>
  <si>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</si>
  <si>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</si>
  <si>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</si>
  <si>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</si>
  <si>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</si>
  <si>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</si>
  <si>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</si>
  <si>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</si>
  <si>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</si>
  <si>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</si>
  <si>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</si>
  <si>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</si>
  <si>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</si>
  <si>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</si>
  <si>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</si>
  <si>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</si>
  <si>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</si>
  <si>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</si>
  <si>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</si>
  <si>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</si>
  <si>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</si>
  <si>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</si>
  <si>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</si>
  <si>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</si>
  <si>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</si>
  <si>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</si>
  <si>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</si>
  <si>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</si>
  <si>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</si>
  <si>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</si>
  <si>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</si>
  <si>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</si>
  <si>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</si>
  <si>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</si>
  <si>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</si>
  <si>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</si>
  <si>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</si>
  <si>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</si>
  <si>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</si>
  <si>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</si>
  <si>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</si>
  <si>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</si>
  <si>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</si>
  <si>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</si>
  <si>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</si>
  <si>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</si>
  <si>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</si>
  <si>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</si>
  <si>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</si>
  <si>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</si>
  <si>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</si>
  <si>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</si>
  <si>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</si>
  <si>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</si>
  <si>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</si>
  <si>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</si>
  <si>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</si>
  <si>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</si>
  <si>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</si>
  <si>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</si>
  <si>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</si>
  <si>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</si>
  <si>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</si>
  <si>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</si>
  <si>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</si>
  <si>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</si>
  <si>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</si>
  <si>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</si>
  <si>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</si>
  <si>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</si>
  <si>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</si>
  <si>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</si>
  <si>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</si>
  <si>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</si>
  <si>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</si>
  <si>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</si>
  <si>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</si>
  <si>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</si>
  <si>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</si>
  <si>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</si>
  <si>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</si>
  <si>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</si>
  <si>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</si>
  <si>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</si>
  <si>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</si>
  <si>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</si>
  <si>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</si>
  <si>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</si>
  <si>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</si>
  <si>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</si>
  <si>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</si>
  <si>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</si>
  <si>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</si>
  <si>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</si>
  <si>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</si>
  <si>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</si>
  <si>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</si>
  <si>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</si>
  <si>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</si>
  <si>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</si>
  <si>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</si>
  <si>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</si>
  <si>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</si>
  <si>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</si>
  <si>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</si>
  <si>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</si>
  <si>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</si>
  <si>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</si>
  <si>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</si>
  <si>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</si>
  <si>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</si>
  <si>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</si>
  <si>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</si>
  <si>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</si>
  <si>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</si>
  <si>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</si>
  <si>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</si>
  <si>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</si>
  <si>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</si>
  <si>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</si>
  <si>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</si>
  <si>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</si>
  <si>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</si>
  <si>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</si>
  <si>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</si>
  <si>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</si>
  <si>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</si>
  <si>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</si>
  <si>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</si>
  <si>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</si>
  <si>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</si>
  <si>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</si>
  <si>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</si>
  <si>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</si>
  <si>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</si>
  <si>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</si>
  <si>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</si>
  <si>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</si>
  <si>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</si>
  <si>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</si>
  <si>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</si>
  <si>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</si>
  <si>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</si>
  <si>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</si>
  <si>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</si>
  <si>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</si>
  <si>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</si>
  <si>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</si>
  <si>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</si>
  <si>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</si>
  <si>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</si>
  <si>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</si>
  <si>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</si>
  <si>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</si>
  <si>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</si>
  <si>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</si>
  <si>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</si>
  <si>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</si>
  <si>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</si>
  <si>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</si>
  <si>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</si>
  <si>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</si>
  <si>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</si>
  <si>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</si>
  <si>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</si>
  <si>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</si>
  <si>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</si>
  <si>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</si>
  <si>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</si>
  <si>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</si>
  <si>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</si>
  <si>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</si>
  <si>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</si>
  <si>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</si>
  <si>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</si>
  <si>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</si>
  <si>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</si>
  <si>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</si>
  <si>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</si>
  <si>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</si>
  <si>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</si>
  <si>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</si>
  <si>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</si>
  <si>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</si>
  <si>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</si>
  <si>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</si>
  <si>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</si>
  <si>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</si>
  <si>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</si>
  <si>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</si>
  <si>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</si>
  <si>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</si>
  <si>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</si>
  <si>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</si>
  <si>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</si>
  <si>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</si>
  <si>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</si>
  <si>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</si>
  <si>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</si>
  <si>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</si>
  <si>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</si>
  <si>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</si>
  <si>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</si>
  <si>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</si>
  <si>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</si>
  <si>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</si>
  <si>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</si>
  <si>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</si>
  <si>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</si>
  <si>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</si>
  <si>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</si>
  <si>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</si>
  <si>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</si>
  <si>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</si>
  <si>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</si>
  <si>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</si>
  <si>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</si>
  <si>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</si>
  <si>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</si>
  <si>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</si>
  <si>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</si>
  <si>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</si>
  <si>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</si>
  <si>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</si>
  <si>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</si>
  <si>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</si>
  <si>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</si>
  <si>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</si>
  <si>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</si>
  <si>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</si>
  <si>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</si>
  <si>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</si>
  <si>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</si>
  <si>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</si>
  <si>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</si>
  <si>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</si>
  <si>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</si>
  <si>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</si>
  <si>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</si>
  <si>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</si>
  <si>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</si>
  <si>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</si>
  <si>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</si>
  <si>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</si>
  <si>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</si>
  <si>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</si>
  <si>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</si>
  <si>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</si>
  <si>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</si>
  <si>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</si>
  <si>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</si>
  <si>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</si>
  <si>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</si>
  <si>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</si>
  <si>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</si>
  <si>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</si>
  <si>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</si>
  <si>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</si>
  <si>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</si>
  <si>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</si>
  <si>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</si>
  <si>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</si>
  <si>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</si>
  <si>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</si>
  <si>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</si>
  <si>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</si>
  <si>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</si>
  <si>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</si>
  <si>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</si>
  <si>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</si>
  <si>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</si>
  <si>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</si>
  <si>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</si>
  <si>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</si>
  <si>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</si>
  <si>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</si>
  <si>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</si>
  <si>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</si>
  <si>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</si>
  <si>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</si>
  <si>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</si>
  <si>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</si>
  <si>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</si>
  <si>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</si>
  <si>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</si>
  <si>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</si>
  <si>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</si>
  <si>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</si>
  <si>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</si>
  <si>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</si>
  <si>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</si>
  <si>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</si>
  <si>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</si>
  <si>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</si>
  <si>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</si>
  <si>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</si>
  <si>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</si>
  <si>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</si>
  <si>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</si>
  <si>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</si>
  <si>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</si>
  <si>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</si>
  <si>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</si>
  <si>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</si>
  <si>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</si>
  <si>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</si>
  <si>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</si>
  <si>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</si>
  <si>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</si>
  <si>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</si>
  <si>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</si>
  <si>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</si>
  <si>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</si>
  <si>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</si>
  <si>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</si>
  <si>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</si>
  <si>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</si>
  <si>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</si>
  <si>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</si>
  <si>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</si>
  <si>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</si>
  <si>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</si>
  <si>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</si>
  <si>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</si>
  <si>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</si>
  <si>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</si>
  <si>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</si>
  <si>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</si>
  <si>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</si>
  <si>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</si>
  <si>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</si>
  <si>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</si>
  <si>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</si>
  <si>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</si>
  <si>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</si>
  <si>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</si>
  <si>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</si>
  <si>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</si>
  <si>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</si>
  <si>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</si>
  <si>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</si>
  <si>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</si>
  <si>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</si>
  <si>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</si>
  <si>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</si>
  <si>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</si>
  <si>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</si>
  <si>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</si>
  <si>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</si>
  <si>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</si>
  <si>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</si>
  <si>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</si>
  <si>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</si>
  <si>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</si>
  <si>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</si>
  <si>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</si>
  <si>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</si>
  <si>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</si>
  <si>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</si>
  <si>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</si>
  <si>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</si>
  <si>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</si>
  <si>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</si>
  <si>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</si>
  <si>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</si>
  <si>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</si>
  <si>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</si>
  <si>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</si>
  <si>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</si>
  <si>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</si>
  <si>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</si>
  <si>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</si>
  <si>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</si>
  <si>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</si>
  <si>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</si>
  <si>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</si>
  <si>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</si>
  <si>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</si>
  <si>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</si>
  <si>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</si>
  <si>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</si>
  <si>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</si>
  <si>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</si>
  <si>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</si>
  <si>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</si>
  <si>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</si>
  <si>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</si>
  <si>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</si>
  <si>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</si>
  <si>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</si>
  <si>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</si>
  <si>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</si>
  <si>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</si>
  <si>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</si>
  <si>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</si>
  <si>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</si>
  <si>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</si>
  <si>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</si>
  <si>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</si>
  <si>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</si>
  <si>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</si>
  <si>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</si>
  <si>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</si>
  <si>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</si>
  <si>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</si>
  <si>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</si>
  <si>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</si>
  <si>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</si>
  <si>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</si>
  <si>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</si>
  <si>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</si>
  <si>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</si>
  <si>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</si>
  <si>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</si>
  <si>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</si>
  <si>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</si>
  <si>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</si>
  <si>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</si>
  <si>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</si>
  <si>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</si>
  <si>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</si>
  <si>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</si>
  <si>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</si>
  <si>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</si>
  <si>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</si>
  <si>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</si>
  <si>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</si>
  <si>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</si>
  <si>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</si>
  <si>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</si>
  <si>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</si>
  <si>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</si>
  <si>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</si>
  <si>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</si>
  <si>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</si>
  <si>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</si>
  <si>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</si>
  <si>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</si>
  <si>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</si>
  <si>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</si>
  <si>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</si>
  <si>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</si>
  <si>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</si>
  <si>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</si>
  <si>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</si>
  <si>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</si>
  <si>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</si>
  <si>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</si>
  <si>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</si>
  <si>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</si>
  <si>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</si>
  <si>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</si>
  <si>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</si>
  <si>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</si>
  <si>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</si>
  <si>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</si>
  <si>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</si>
  <si>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</si>
  <si>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</si>
  <si>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</si>
  <si>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</si>
  <si>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</si>
  <si>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</si>
  <si>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</si>
  <si>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</si>
  <si>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</si>
  <si>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</si>
  <si>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</si>
  <si>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</si>
  <si>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</si>
  <si>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</si>
  <si>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</si>
  <si>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</si>
  <si>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</si>
  <si>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</si>
  <si>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</si>
  <si>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</si>
  <si>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</si>
  <si>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</si>
  <si>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</si>
  <si>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</si>
  <si>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</si>
  <si>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</si>
  <si>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</si>
  <si>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</si>
  <si>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</si>
  <si>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</si>
  <si>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</si>
  <si>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</si>
  <si>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</si>
  <si>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</si>
  <si>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</si>
  <si>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</si>
  <si>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</si>
  <si>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</si>
  <si>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</si>
  <si>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</si>
  <si>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</si>
  <si>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</si>
  <si>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</si>
  <si>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</si>
  <si>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</si>
  <si>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</si>
  <si>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</si>
  <si>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</si>
  <si>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</si>
  <si>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</si>
  <si>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</si>
  <si>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</si>
  <si>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</si>
  <si>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</si>
  <si>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</si>
  <si>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</si>
  <si>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</si>
  <si>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</si>
  <si>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</si>
  <si>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</si>
  <si>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</si>
  <si>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</si>
  <si>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</si>
  <si>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</si>
  <si>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</si>
  <si>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</si>
  <si>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</si>
  <si>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</si>
  <si>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</si>
  <si>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</si>
  <si>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</si>
  <si>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</si>
  <si>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</si>
  <si>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</si>
  <si>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</si>
  <si>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</si>
  <si>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</si>
  <si>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</si>
  <si>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</si>
  <si>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</si>
  <si>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</si>
  <si>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</si>
  <si>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</si>
  <si>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</si>
  <si>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</si>
  <si>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</si>
  <si>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</si>
  <si>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</si>
  <si>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</si>
  <si>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</si>
  <si>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</si>
  <si>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</si>
  <si>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</si>
  <si>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</si>
  <si>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</si>
  <si>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</si>
  <si>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</si>
  <si>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</si>
  <si>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</si>
  <si>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</si>
  <si>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</si>
  <si>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</si>
  <si>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</si>
  <si>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</si>
  <si>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</si>
  <si>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</si>
  <si>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</si>
  <si>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</si>
  <si>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</si>
  <si>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</si>
  <si>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</si>
  <si>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</si>
  <si>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</si>
  <si>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</si>
  <si>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</si>
  <si>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</si>
  <si>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</si>
  <si>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</si>
  <si>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</si>
  <si>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</si>
  <si>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</si>
  <si>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</si>
  <si>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</si>
  <si>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</si>
  <si>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</si>
  <si>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</si>
  <si>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</si>
  <si>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</si>
  <si>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</si>
  <si>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</si>
  <si>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</si>
  <si>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</si>
  <si>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</si>
  <si>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</si>
  <si>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</si>
  <si>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</si>
  <si>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</si>
  <si>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</si>
  <si>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</si>
  <si>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</si>
  <si>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</si>
  <si>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</si>
  <si>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</si>
  <si>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</si>
  <si>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</si>
  <si>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</si>
  <si>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</si>
  <si>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</si>
  <si>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</si>
  <si>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</si>
  <si>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</si>
  <si>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</si>
  <si>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</si>
  <si>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</si>
  <si>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</si>
  <si>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</si>
  <si>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</si>
  <si>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</si>
  <si>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</si>
  <si>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</si>
  <si>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</si>
  <si>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</si>
  <si>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</si>
  <si>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</si>
  <si>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</si>
  <si>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</si>
  <si>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</si>
  <si>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</si>
  <si>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</si>
  <si>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</si>
  <si>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</si>
  <si>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</si>
  <si>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</si>
  <si>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</si>
  <si>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</si>
  <si>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</si>
  <si>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</si>
  <si>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</si>
  <si>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</si>
  <si>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</si>
  <si>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</si>
  <si>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</si>
  <si>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</si>
  <si>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</si>
  <si>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</si>
  <si>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</si>
  <si>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</si>
  <si>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</si>
  <si>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</si>
  <si>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</si>
  <si>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</si>
  <si>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</si>
  <si>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</si>
  <si>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</si>
  <si>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</si>
  <si>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</si>
  <si>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</si>
  <si>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</si>
  <si>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</si>
  <si>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</si>
  <si>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</si>
  <si>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</si>
  <si>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</si>
  <si>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</si>
  <si>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</si>
  <si>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</si>
  <si>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</si>
  <si>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</si>
  <si>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</si>
  <si>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</si>
  <si>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</si>
  <si>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</si>
  <si>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</si>
  <si>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</si>
  <si>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</si>
  <si>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</si>
  <si>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</si>
  <si>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</si>
  <si>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</si>
  <si>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</si>
  <si>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</si>
  <si>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</si>
  <si>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</si>
  <si>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</si>
  <si>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</si>
  <si>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</si>
  <si>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</si>
  <si>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</si>
  <si>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</si>
  <si>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</si>
  <si>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</si>
  <si>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</si>
  <si>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</si>
  <si>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</si>
  <si>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</si>
  <si>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</si>
  <si>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</si>
  <si>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</si>
  <si>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</si>
  <si>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</si>
  <si>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</si>
  <si>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</si>
  <si>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</si>
  <si>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</si>
  <si>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</si>
  <si>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</si>
  <si>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</si>
  <si>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</si>
  <si>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</si>
  <si>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</si>
  <si>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</si>
  <si>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</si>
  <si>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</si>
  <si>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</si>
  <si>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</si>
  <si>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</si>
  <si>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</si>
  <si>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</si>
  <si>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</si>
  <si>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</si>
  <si>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</si>
  <si>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</si>
  <si>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</si>
  <si>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</si>
  <si>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</si>
  <si>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</si>
  <si>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</si>
  <si>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</si>
  <si>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</si>
  <si>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</si>
  <si>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</si>
  <si>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</si>
  <si>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</si>
  <si>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</si>
  <si>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</si>
  <si>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</si>
  <si>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</si>
  <si>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</si>
  <si>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</si>
  <si>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</si>
  <si>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</si>
  <si>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</si>
  <si>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</si>
  <si>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</si>
  <si>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</si>
  <si>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</si>
  <si>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</si>
  <si>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</si>
  <si>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</si>
  <si>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</si>
  <si>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</si>
  <si>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</si>
  <si>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</si>
  <si>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</si>
  <si>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</si>
  <si>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</si>
  <si>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</si>
  <si>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</si>
  <si>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</si>
  <si>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</si>
  <si>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</si>
  <si>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</si>
  <si>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</si>
  <si>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</si>
  <si>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</si>
  <si>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</si>
  <si>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</si>
  <si>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</si>
  <si>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</si>
  <si>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</si>
  <si>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</si>
  <si>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</si>
  <si>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</si>
  <si>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</si>
  <si>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</si>
  <si>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</si>
  <si>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</si>
  <si>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</si>
  <si>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</si>
  <si>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</si>
  <si>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</si>
  <si>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</si>
  <si>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</si>
  <si>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</si>
  <si>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</si>
  <si>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</si>
  <si>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</si>
  <si>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</si>
  <si>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</si>
  <si>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</si>
  <si>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</si>
  <si>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</si>
  <si>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</si>
  <si>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</si>
  <si>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</si>
  <si>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</si>
  <si>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</si>
  <si>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</si>
  <si>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</si>
  <si>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</si>
  <si>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</si>
  <si>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</si>
  <si>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</si>
  <si>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</si>
  <si>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</si>
  <si>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</si>
  <si>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</si>
  <si>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</si>
  <si>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</si>
  <si>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</si>
  <si>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</si>
  <si>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</si>
  <si>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</si>
  <si>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</si>
  <si>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</si>
  <si>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</si>
  <si>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</si>
  <si>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</si>
  <si>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</si>
  <si>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</si>
  <si>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</si>
  <si>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</si>
  <si>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</si>
  <si>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</si>
  <si>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</si>
  <si>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</si>
  <si>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</si>
  <si>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</si>
  <si>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</si>
  <si>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</si>
  <si>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</si>
  <si>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</si>
  <si>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</si>
  <si>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</si>
  <si>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</si>
  <si>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</si>
  <si>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</si>
  <si>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</si>
  <si>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</si>
  <si>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</si>
  <si>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</si>
  <si>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</si>
  <si>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</si>
  <si>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</si>
  <si>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</si>
  <si>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</si>
  <si>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</si>
  <si>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</si>
  <si>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</si>
  <si>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</si>
  <si>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</si>
  <si>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</si>
  <si>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</si>
  <si>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</si>
  <si>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</si>
  <si>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</si>
  <si>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</si>
  <si>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</si>
  <si>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</si>
  <si>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</si>
  <si>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</si>
  <si>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</si>
  <si>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</si>
  <si>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</si>
  <si>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</si>
  <si>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</si>
  <si>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</si>
  <si>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</si>
  <si>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</si>
  <si>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</si>
  <si>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</si>
  <si>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</si>
  <si>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</si>
  <si>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</si>
  <si>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</si>
  <si>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</si>
  <si>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</si>
  <si>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</si>
  <si>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</si>
  <si>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</si>
  <si>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</si>
  <si>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</si>
  <si>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</si>
  <si>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</si>
  <si>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</si>
  <si>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</si>
  <si>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</si>
  <si>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</si>
  <si>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</si>
  <si>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</si>
  <si>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</si>
  <si>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</si>
  <si>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</si>
  <si>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</si>
  <si>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</si>
  <si>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</si>
  <si>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</si>
  <si>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</si>
  <si>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</si>
  <si>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</si>
  <si>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</si>
  <si>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</si>
  <si>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</si>
  <si>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</si>
  <si>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</si>
  <si>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</si>
  <si>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</si>
  <si>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</si>
  <si>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</si>
  <si>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</si>
  <si>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</si>
  <si>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</si>
  <si>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</si>
  <si>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</si>
  <si>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</si>
  <si>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</si>
  <si>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</si>
  <si>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</si>
  <si>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</si>
  <si>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</si>
  <si>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</si>
  <si>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</si>
  <si>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</si>
  <si>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</si>
  <si>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</si>
  <si>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</si>
  <si>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</si>
  <si>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</si>
  <si>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</si>
  <si>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</si>
  <si>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</si>
  <si>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</si>
  <si>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</si>
  <si>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</si>
  <si>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</si>
  <si>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</si>
  <si>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</si>
  <si>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</si>
  <si>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</si>
  <si>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</si>
  <si>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</si>
  <si>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</si>
  <si>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</si>
  <si>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</si>
  <si>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</si>
  <si>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</si>
  <si>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</si>
  <si>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</si>
  <si>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</si>
  <si>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</si>
  <si>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</si>
  <si>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</si>
  <si>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</si>
  <si>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</si>
  <si>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</si>
  <si>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</si>
  <si>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</si>
  <si>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</si>
  <si>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</si>
  <si>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</si>
  <si>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</si>
  <si>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</si>
  <si>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</si>
  <si>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</si>
  <si>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</si>
  <si>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</si>
  <si>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</si>
  <si>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</si>
  <si>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</si>
  <si>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</si>
  <si>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</si>
  <si>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</si>
  <si>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</si>
  <si>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</si>
  <si>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</si>
  <si>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</si>
  <si>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</si>
  <si>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</si>
  <si>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</si>
  <si>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</si>
  <si>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</si>
  <si>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</si>
  <si>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</si>
  <si>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</si>
  <si>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</si>
  <si>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</si>
  <si>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</si>
  <si>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</si>
  <si>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</si>
  <si>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</si>
  <si>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</si>
  <si>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</si>
  <si>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</si>
  <si>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</si>
  <si>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</si>
  <si>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</si>
  <si>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</si>
  <si>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</si>
  <si>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</si>
  <si>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</si>
  <si>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</si>
  <si>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</si>
  <si>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</si>
  <si>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</si>
  <si>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</si>
  <si>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</si>
  <si>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</si>
  <si>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</si>
  <si>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</si>
  <si>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</si>
  <si>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</si>
  <si>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</si>
  <si>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</si>
  <si>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</si>
  <si>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</si>
  <si>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</si>
  <si>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</si>
  <si>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</si>
  <si>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</si>
  <si>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</si>
  <si>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</si>
  <si>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</si>
  <si>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</si>
  <si>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</si>
  <si>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</si>
  <si>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</si>
  <si>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</si>
  <si>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</si>
  <si>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</si>
  <si>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</si>
  <si>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</si>
  <si>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</si>
  <si>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</si>
  <si>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</si>
  <si>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</si>
  <si>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</si>
  <si>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</si>
  <si>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</si>
  <si>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</si>
  <si>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</si>
  <si>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</si>
  <si>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</si>
  <si>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</si>
  <si>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</si>
  <si>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</si>
  <si>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</si>
  <si>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</si>
  <si>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</si>
  <si>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</si>
  <si>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</si>
  <si>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</si>
  <si>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</si>
  <si>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</si>
  <si>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</si>
  <si>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</si>
  <si>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</si>
  <si>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</si>
  <si>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</si>
  <si>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</si>
  <si>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</si>
  <si>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</si>
  <si>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</si>
  <si>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</si>
  <si>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</si>
  <si>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</si>
  <si>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</si>
  <si>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</si>
  <si>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</si>
  <si>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</si>
  <si>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</si>
  <si>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</si>
  <si>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</si>
  <si>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</si>
  <si>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</si>
  <si>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</si>
  <si>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</si>
  <si>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</si>
  <si>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</si>
  <si>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</si>
  <si>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</si>
  <si>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</si>
  <si>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</si>
  <si>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</si>
  <si>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</si>
  <si>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</si>
  <si>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</si>
  <si>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</si>
  <si>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</si>
  <si>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</si>
  <si>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</si>
  <si>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</si>
  <si>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</si>
  <si>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</si>
  <si>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</si>
  <si>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</si>
  <si>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</si>
  <si>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</si>
  <si>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</si>
  <si>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</si>
  <si>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</si>
  <si>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</si>
  <si>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</si>
  <si>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</si>
  <si>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</si>
  <si>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</si>
  <si>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</si>
  <si>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</si>
  <si>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</si>
  <si>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</si>
  <si>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</si>
  <si>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</si>
  <si>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</si>
  <si>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</si>
  <si>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</si>
  <si>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</si>
  <si>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</si>
  <si>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</si>
  <si>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</si>
  <si>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</si>
  <si>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</si>
  <si>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</si>
  <si>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</si>
  <si>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</si>
  <si>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</si>
  <si>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</si>
  <si>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</si>
  <si>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</si>
  <si>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</si>
  <si>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</si>
  <si>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</si>
  <si>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</si>
  <si>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</si>
  <si>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</si>
  <si>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</si>
  <si>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</si>
  <si>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</si>
  <si>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</si>
  <si>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</si>
  <si>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</si>
  <si>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</si>
  <si>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</si>
  <si>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</si>
  <si>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</si>
  <si>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</si>
  <si>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</si>
  <si>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</si>
  <si>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</si>
  <si>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</si>
  <si>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</si>
  <si>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</si>
  <si>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</si>
  <si>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</si>
  <si>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</si>
  <si>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</si>
  <si>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</si>
  <si>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</si>
  <si>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</si>
  <si>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</si>
  <si>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</si>
  <si>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</si>
  <si>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</si>
  <si>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</si>
  <si>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</si>
  <si>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</si>
  <si>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</si>
  <si>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</si>
  <si>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</si>
  <si>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</si>
  <si>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</si>
  <si>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</si>
  <si>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</si>
  <si>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</si>
  <si>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</si>
  <si>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</si>
  <si>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</si>
  <si>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</si>
  <si>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</si>
  <si>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</si>
  <si>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</si>
  <si>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</si>
  <si>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</si>
  <si>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</si>
  <si>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</si>
  <si>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</si>
  <si>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</si>
  <si>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</si>
  <si>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</si>
  <si>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</si>
  <si>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</si>
  <si>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</si>
  <si>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</si>
  <si>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</si>
  <si>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</si>
  <si>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</si>
  <si>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</si>
  <si>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</si>
  <si>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</si>
  <si>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</si>
  <si>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</si>
  <si>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</si>
  <si>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</si>
  <si>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</si>
  <si>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</si>
  <si>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</si>
  <si>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</si>
  <si>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</si>
  <si>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</si>
  <si>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</si>
  <si>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</si>
  <si>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</si>
  <si>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</si>
  <si>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</si>
  <si>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</si>
  <si>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</si>
  <si>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</si>
  <si>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</si>
  <si>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</si>
  <si>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</si>
  <si>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</si>
  <si>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</si>
  <si>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</si>
  <si>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</si>
  <si>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</si>
  <si>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</si>
  <si>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</si>
  <si>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</si>
  <si>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</si>
  <si>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</si>
  <si>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</si>
  <si>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</si>
  <si>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</si>
  <si>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</si>
  <si>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</si>
  <si>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</si>
  <si>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</si>
  <si>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</si>
  <si>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</si>
  <si>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</si>
  <si>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</si>
  <si>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</si>
  <si>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</si>
  <si>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</si>
  <si>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</si>
  <si>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</si>
  <si>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</si>
  <si>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</si>
  <si>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</si>
  <si>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</si>
  <si>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</si>
  <si>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</si>
  <si>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</si>
  <si>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</si>
  <si>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</si>
  <si>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</si>
  <si>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</si>
  <si>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</si>
  <si>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</si>
  <si>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</si>
  <si>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</si>
  <si>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</si>
  <si>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</si>
  <si>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</si>
  <si>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</si>
  <si>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</si>
  <si>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</si>
  <si>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</si>
  <si>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</si>
  <si>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</si>
  <si>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</si>
  <si>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</si>
  <si>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</si>
  <si>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</si>
  <si>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</si>
  <si>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</si>
  <si>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</si>
  <si>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</si>
  <si>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</si>
  <si>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</si>
  <si>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</si>
  <si>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</si>
  <si>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</si>
  <si>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</si>
  <si>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</si>
  <si>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</si>
  <si>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</si>
  <si>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</si>
  <si>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</si>
  <si>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</si>
  <si>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</si>
  <si>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</si>
  <si>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</si>
  <si>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</si>
  <si>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</si>
  <si>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</si>
  <si>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</si>
  <si>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</si>
  <si>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</si>
  <si>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</si>
  <si>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</si>
  <si>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</si>
  <si>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</si>
  <si>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</si>
  <si>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</si>
  <si>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</si>
  <si>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</si>
  <si>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</si>
  <si>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</si>
  <si>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</si>
  <si>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</si>
  <si>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</si>
  <si>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</si>
  <si>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</si>
  <si>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</si>
  <si>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</si>
  <si>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</si>
  <si>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</si>
  <si>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</si>
  <si>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</si>
  <si>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</si>
  <si>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</si>
  <si>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</si>
  <si>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</si>
  <si>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</si>
  <si>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</si>
  <si>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</si>
  <si>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</si>
  <si>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</si>
  <si>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</si>
  <si>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</si>
  <si>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</si>
  <si>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</si>
  <si>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</si>
  <si>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</si>
  <si>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</si>
  <si>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</si>
  <si>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</si>
  <si>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</si>
  <si>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</si>
  <si>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</si>
  <si>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</si>
  <si>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</si>
  <si>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</si>
  <si>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</si>
  <si>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</si>
  <si>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</si>
  <si>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</si>
  <si>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</si>
  <si>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</si>
  <si>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</si>
  <si>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</si>
  <si>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</si>
  <si>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</si>
  <si>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</si>
  <si>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</si>
  <si>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</si>
  <si>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</si>
  <si>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</si>
  <si>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</si>
  <si>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</si>
  <si>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</si>
  <si>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</si>
  <si>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</si>
  <si>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</si>
  <si>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</si>
  <si>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</si>
  <si>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</si>
  <si>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</si>
  <si>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</si>
  <si>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</si>
  <si>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</si>
  <si>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</si>
  <si>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</si>
  <si>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</si>
  <si>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</si>
  <si>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</si>
  <si>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</si>
  <si>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</si>
  <si>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</si>
  <si>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</si>
  <si>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</si>
  <si>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</si>
  <si>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</si>
  <si>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</si>
  <si>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</si>
  <si>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</si>
  <si>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</si>
  <si>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</si>
  <si>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</si>
  <si>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</si>
  <si>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</si>
  <si>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</si>
  <si>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</si>
  <si>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</si>
  <si>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</si>
  <si>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</si>
  <si>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</si>
  <si>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</si>
  <si>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</si>
  <si>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</si>
  <si>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</si>
  <si>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</si>
  <si>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</si>
  <si>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</si>
  <si>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</si>
  <si>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</si>
  <si>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</si>
  <si>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</si>
  <si>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</si>
  <si>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</si>
  <si>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</si>
  <si>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</si>
  <si>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</si>
  <si>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</si>
  <si>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</si>
  <si>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</si>
  <si>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</si>
  <si>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</si>
  <si>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</si>
  <si>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</si>
  <si>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</si>
  <si>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</si>
  <si>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</si>
  <si>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</si>
  <si>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</si>
  <si>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</si>
  <si>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</si>
  <si>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</si>
  <si>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</si>
  <si>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</si>
  <si>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</si>
  <si>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</si>
  <si>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</si>
  <si>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</si>
  <si>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</si>
  <si>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</si>
  <si>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</si>
  <si>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</si>
  <si>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</si>
  <si>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</si>
  <si>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</si>
  <si>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</si>
  <si>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</si>
  <si>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</si>
  <si>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</si>
  <si>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</si>
  <si>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</si>
  <si>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</si>
  <si>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</si>
  <si>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</si>
  <si>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</si>
  <si>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</si>
  <si>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</si>
  <si>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</si>
  <si>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</si>
  <si>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</si>
  <si>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</si>
  <si>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</si>
  <si>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</si>
  <si>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</si>
  <si>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</si>
  <si>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</si>
  <si>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</si>
  <si>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</si>
  <si>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</si>
  <si>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</si>
  <si>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</si>
  <si>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</si>
  <si>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</si>
  <si>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</si>
  <si>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</si>
  <si>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</si>
  <si>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</si>
  <si>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</si>
  <si>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</si>
  <si>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</si>
  <si>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</si>
  <si>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</si>
  <si>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</si>
  <si>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</si>
  <si>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</si>
  <si>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</si>
  <si>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</si>
  <si>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</si>
  <si>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</si>
  <si>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</si>
  <si>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</si>
  <si>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</si>
  <si>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</si>
  <si>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</si>
  <si>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</si>
  <si>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</si>
  <si>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</si>
  <si>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</si>
  <si>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</si>
  <si>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</si>
  <si>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</si>
  <si>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</si>
  <si>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</si>
  <si>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</si>
  <si>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</si>
  <si>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</si>
  <si>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</si>
  <si>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</si>
  <si>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</si>
  <si>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</si>
  <si>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</si>
  <si>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</si>
  <si>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</si>
  <si>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</si>
  <si>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</si>
  <si>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</si>
  <si>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</si>
  <si>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</si>
  <si>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</si>
  <si>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</si>
  <si>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</si>
  <si>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</si>
  <si>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</si>
  <si>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</si>
  <si>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</si>
  <si>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</si>
  <si>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</si>
  <si>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</si>
  <si>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</si>
  <si>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</si>
  <si>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</si>
  <si>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</si>
  <si>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</si>
  <si>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</si>
  <si>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</si>
  <si>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</si>
  <si>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</si>
  <si>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</si>
  <si>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</si>
  <si>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</si>
  <si>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</si>
  <si>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</si>
  <si>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</si>
  <si>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</si>
  <si>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</si>
  <si>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</si>
  <si>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</si>
  <si>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</si>
  <si>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</si>
  <si>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</si>
  <si>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</si>
  <si>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</si>
  <si>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</si>
  <si>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</si>
  <si>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</si>
  <si>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</si>
  <si>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</si>
  <si>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</si>
  <si>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</si>
  <si>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</si>
  <si>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</si>
  <si>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</si>
  <si>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</si>
  <si>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</si>
  <si>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</si>
  <si>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</si>
  <si>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</si>
  <si>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</si>
  <si>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</si>
  <si>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</si>
  <si>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</si>
  <si>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</si>
  <si>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</si>
  <si>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</si>
  <si>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</si>
  <si>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</si>
  <si>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</si>
  <si>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</si>
  <si>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</si>
  <si>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</si>
  <si>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</si>
  <si>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</si>
  <si>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</si>
  <si>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</si>
  <si>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</si>
  <si>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</si>
  <si>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</si>
  <si>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</si>
  <si>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</si>
  <si>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</si>
  <si>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</si>
  <si>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</si>
  <si>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</si>
  <si>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</si>
  <si>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</si>
  <si>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</si>
  <si>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</si>
  <si>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</si>
  <si>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</si>
  <si>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</si>
  <si>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</si>
  <si>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</si>
  <si>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</si>
  <si>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</si>
  <si>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</si>
  <si>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</si>
  <si>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</si>
  <si>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</si>
  <si>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</si>
  <si>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</si>
  <si>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</si>
  <si>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</si>
  <si>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</si>
  <si>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</si>
  <si>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</si>
  <si>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</si>
  <si>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</si>
  <si>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</si>
  <si>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</si>
  <si>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</si>
  <si>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</si>
  <si>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</si>
  <si>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</si>
  <si>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</si>
  <si>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</si>
  <si>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</si>
  <si>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</si>
  <si>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</si>
  <si>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</si>
  <si>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</si>
  <si>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</si>
  <si>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</si>
  <si>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</si>
  <si>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</si>
  <si>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</si>
  <si>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</si>
  <si>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</si>
  <si>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</si>
  <si>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</si>
  <si>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</si>
  <si>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</si>
  <si>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</si>
  <si>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</si>
  <si>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</si>
  <si>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</si>
  <si>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</si>
  <si>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</si>
  <si>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</si>
  <si>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</si>
  <si>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</si>
  <si>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</si>
  <si>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</si>
  <si>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</si>
  <si>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</si>
  <si>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</si>
  <si>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</si>
  <si>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</si>
  <si>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Order_ID</t>
  </si>
  <si>
    <t>Customer_ID</t>
  </si>
  <si>
    <t>Unit 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</si>
  <si>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</si>
  <si>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</si>
  <si>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</si>
  <si>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</si>
  <si>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</si>
  <si>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</si>
  <si>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</si>
  <si>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</si>
  <si>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23/08/2024</t>
  </si>
  <si>
    <t>27/02/2024</t>
  </si>
  <si>
    <t>15/10/2023</t>
  </si>
  <si>
    <t>23/10/2023</t>
  </si>
  <si>
    <t>17/06/2025</t>
  </si>
  <si>
    <t>No Coupon</t>
  </si>
  <si>
    <t>21/11/2023</t>
  </si>
  <si>
    <t>29/12/2023</t>
  </si>
  <si>
    <t>17/02/2024</t>
  </si>
  <si>
    <t>15/10/2024</t>
  </si>
  <si>
    <t>30/08/2023</t>
  </si>
  <si>
    <t>27/03/2023</t>
  </si>
  <si>
    <t>17/07/2023</t>
  </si>
  <si>
    <t>24/01/2023</t>
  </si>
  <si>
    <t>26/03/2025</t>
  </si>
  <si>
    <t>23/01/2023</t>
  </si>
  <si>
    <t>17/11/2024</t>
  </si>
  <si>
    <t>29/01/2023</t>
  </si>
  <si>
    <t>30/10/2024</t>
  </si>
  <si>
    <t>24/07/2024</t>
  </si>
  <si>
    <t>22/02/2024</t>
  </si>
  <si>
    <t>20/09/2024</t>
  </si>
  <si>
    <t>22/03/2025</t>
  </si>
  <si>
    <t>30/06/2023</t>
  </si>
  <si>
    <t>14/10/2024</t>
  </si>
  <si>
    <t>19/12/2024</t>
  </si>
  <si>
    <t>27/02/2025</t>
  </si>
  <si>
    <t>20/08/2023</t>
  </si>
  <si>
    <t>14/12/2023</t>
  </si>
  <si>
    <t>21/04/2025</t>
  </si>
  <si>
    <t>26/06/2024</t>
  </si>
  <si>
    <t>19/07/2023</t>
  </si>
  <si>
    <t>26/08/2023</t>
  </si>
  <si>
    <t>31/07/2023</t>
  </si>
  <si>
    <t>30/12/2024</t>
  </si>
  <si>
    <t>18/05/2024</t>
  </si>
  <si>
    <t>27/03/2025</t>
  </si>
  <si>
    <t>24/06/2025</t>
  </si>
  <si>
    <t>21/05/2023</t>
  </si>
  <si>
    <t>22/01/2023</t>
  </si>
  <si>
    <t>15/01/2023</t>
  </si>
  <si>
    <t>21/08/2024</t>
  </si>
  <si>
    <t>24/03/2024</t>
  </si>
  <si>
    <t>22/08/2023</t>
  </si>
  <si>
    <t>25/06/2025</t>
  </si>
  <si>
    <t>30/12/2023</t>
  </si>
  <si>
    <t>15/11/2024</t>
  </si>
  <si>
    <t>26/05/2023</t>
  </si>
  <si>
    <t>22/12/2024</t>
  </si>
  <si>
    <t>24/06/2023</t>
  </si>
  <si>
    <t>26/09/2023</t>
  </si>
  <si>
    <t>31/03/2024</t>
  </si>
  <si>
    <t>24/05/2024</t>
  </si>
  <si>
    <t>27/06/2023</t>
  </si>
  <si>
    <t>28/08/2023</t>
  </si>
  <si>
    <t>19/06/2024</t>
  </si>
  <si>
    <t>25/02/2025</t>
  </si>
  <si>
    <t>18/09/2023</t>
  </si>
  <si>
    <t>15/03/2023</t>
  </si>
  <si>
    <t>14/01/2023</t>
  </si>
  <si>
    <t>24/03/2023</t>
  </si>
  <si>
    <t>21/01/2025</t>
  </si>
  <si>
    <t>17/02/2023</t>
  </si>
  <si>
    <t>25/11/2023</t>
  </si>
  <si>
    <t>25/01/2025</t>
  </si>
  <si>
    <t>30/07/2024</t>
  </si>
  <si>
    <t>24/10/2024</t>
  </si>
  <si>
    <t>28/12/2024</t>
  </si>
  <si>
    <t>17/09/2023</t>
  </si>
  <si>
    <t>21/04/2024</t>
  </si>
  <si>
    <t>17/01/2024</t>
  </si>
  <si>
    <t>27/01/2025</t>
  </si>
  <si>
    <t>27/11/2023</t>
  </si>
  <si>
    <t>19/03/2023</t>
  </si>
  <si>
    <t>30/11/2023</t>
  </si>
  <si>
    <t>15/04/2024</t>
  </si>
  <si>
    <t>28/07/2024</t>
  </si>
  <si>
    <t>27/10/2023</t>
  </si>
  <si>
    <t>22/01/2025</t>
  </si>
  <si>
    <t>28/03/2023</t>
  </si>
  <si>
    <t>20/06/2025</t>
  </si>
  <si>
    <t>23/06/2025</t>
  </si>
  <si>
    <t>27/04/2024</t>
  </si>
  <si>
    <t>26/11/2024</t>
  </si>
  <si>
    <t>21/12/2023</t>
  </si>
  <si>
    <t>31/05/2025</t>
  </si>
  <si>
    <t>18/11/2023</t>
  </si>
  <si>
    <t>13/06/2024</t>
  </si>
  <si>
    <t>30/04/2025</t>
  </si>
  <si>
    <t>15/12/2024</t>
  </si>
  <si>
    <t>27/12/2023</t>
  </si>
  <si>
    <t>13/12/2023</t>
  </si>
  <si>
    <t>18/12/2024</t>
  </si>
  <si>
    <t>20/07/2023</t>
  </si>
  <si>
    <t>27/02/2023</t>
  </si>
  <si>
    <t>21/02/2025</t>
  </si>
  <si>
    <t>16/05/2024</t>
  </si>
  <si>
    <t>31/10/2023</t>
  </si>
  <si>
    <t>29/03/2024</t>
  </si>
  <si>
    <t>27/07/2023</t>
  </si>
  <si>
    <t>28/12/2023</t>
  </si>
  <si>
    <t>14/09/2024</t>
  </si>
  <si>
    <t>27/05/2023</t>
  </si>
  <si>
    <t>15/08/2023</t>
  </si>
  <si>
    <t>16/04/2024</t>
  </si>
  <si>
    <t>28/06/2025</t>
  </si>
  <si>
    <t>24/11/2024</t>
  </si>
  <si>
    <t>18/03/2023</t>
  </si>
  <si>
    <t>31/08/2024</t>
  </si>
  <si>
    <t>19/03/2025</t>
  </si>
  <si>
    <t>18/04/2024</t>
  </si>
  <si>
    <t>15/03/2025</t>
  </si>
  <si>
    <t>21/07/2023</t>
  </si>
  <si>
    <t>22/04/2024</t>
  </si>
  <si>
    <t>24/01/2025</t>
  </si>
  <si>
    <t>27/08/2023</t>
  </si>
  <si>
    <t>23/01/2025</t>
  </si>
  <si>
    <t>18/06/2023</t>
  </si>
  <si>
    <t>18/03/2025</t>
  </si>
  <si>
    <t>29/08/2023</t>
  </si>
  <si>
    <t>20/06/2023</t>
  </si>
  <si>
    <t>20/04/2023</t>
  </si>
  <si>
    <t>15/04/2025</t>
  </si>
  <si>
    <t>20/05/2024</t>
  </si>
  <si>
    <t>28/04/2023</t>
  </si>
  <si>
    <t>18/07/2023</t>
  </si>
  <si>
    <t>23/02/2024</t>
  </si>
  <si>
    <t>23/09/2023</t>
  </si>
  <si>
    <t>13/03/2024</t>
  </si>
  <si>
    <t>27/06/2025</t>
  </si>
  <si>
    <t>17/05/2023</t>
  </si>
  <si>
    <t>28/03/2025</t>
  </si>
  <si>
    <t>16/12/2023</t>
  </si>
  <si>
    <t>19/05/2023</t>
  </si>
  <si>
    <t>24/08/2024</t>
  </si>
  <si>
    <t>20/02/2023</t>
  </si>
  <si>
    <t>14/03/2024</t>
  </si>
  <si>
    <t>13/12/2024</t>
  </si>
  <si>
    <t>16/05/2023</t>
  </si>
  <si>
    <t>16/02/2023</t>
  </si>
  <si>
    <t>20/04/2025</t>
  </si>
  <si>
    <t>30/08/2024</t>
  </si>
  <si>
    <t>15/05/2025</t>
  </si>
  <si>
    <t>23/03/2024</t>
  </si>
  <si>
    <t>26/12/2023</t>
  </si>
  <si>
    <t>13/05/2024</t>
  </si>
  <si>
    <t>30/06/2025</t>
  </si>
  <si>
    <t>23/04/2024</t>
  </si>
  <si>
    <t>26/02/2024</t>
  </si>
  <si>
    <t>28/05/2025</t>
  </si>
  <si>
    <t>25/03/2023</t>
  </si>
  <si>
    <t>22/12/2023</t>
  </si>
  <si>
    <t>17/04/2025</t>
  </si>
  <si>
    <t>19/09/2023</t>
  </si>
  <si>
    <t>27/10/2024</t>
  </si>
  <si>
    <t>29/03/2025</t>
  </si>
  <si>
    <t>18/11/2024</t>
  </si>
  <si>
    <t>20/10/2023</t>
  </si>
  <si>
    <t>22/04/2025</t>
  </si>
  <si>
    <t>28/02/2025</t>
  </si>
  <si>
    <t>24/11/2023</t>
  </si>
  <si>
    <t>26/07/2023</t>
  </si>
  <si>
    <t>15/01/2025</t>
  </si>
  <si>
    <t>25/01/2023</t>
  </si>
  <si>
    <t>22/02/2023</t>
  </si>
  <si>
    <t>19/12/2023</t>
  </si>
  <si>
    <t>20/01/2024</t>
  </si>
  <si>
    <t>18/10/2024</t>
  </si>
  <si>
    <t>24/02/2024</t>
  </si>
  <si>
    <t>17/05/2025</t>
  </si>
  <si>
    <t>24/05/2025</t>
  </si>
  <si>
    <t>27/07/2024</t>
  </si>
  <si>
    <t>14/06/2024</t>
  </si>
  <si>
    <t>26/01/2025</t>
  </si>
  <si>
    <t>29/06/2023</t>
  </si>
  <si>
    <t>25/07/2023</t>
  </si>
  <si>
    <t>28/02/2023</t>
  </si>
  <si>
    <t>25/12/2024</t>
  </si>
  <si>
    <t>15/04/2023</t>
  </si>
  <si>
    <t>26/03/2024</t>
  </si>
  <si>
    <t>29/05/2023</t>
  </si>
  <si>
    <t>23/04/2023</t>
  </si>
  <si>
    <t>23/09/2024</t>
  </si>
  <si>
    <t>26/02/2023</t>
  </si>
  <si>
    <t>15/02/2025</t>
  </si>
  <si>
    <t>31/08/2023</t>
  </si>
  <si>
    <t>29/06/2024</t>
  </si>
  <si>
    <t>14/02/2025</t>
  </si>
  <si>
    <t>25/04/2024</t>
  </si>
  <si>
    <t>16/09/2024</t>
  </si>
  <si>
    <t>16/01/2025</t>
  </si>
  <si>
    <t>24/08/2023</t>
  </si>
  <si>
    <t>22/07/2024</t>
  </si>
  <si>
    <t>21/09/2024</t>
  </si>
  <si>
    <t>20/04/2024</t>
  </si>
  <si>
    <t>30/01/2025</t>
  </si>
  <si>
    <t>20/01/2023</t>
  </si>
  <si>
    <t>27/06/2024</t>
  </si>
  <si>
    <t>17/12/2023</t>
  </si>
  <si>
    <t>14/07/2023</t>
  </si>
  <si>
    <t>28/02/2024</t>
  </si>
  <si>
    <t>14/07/2024</t>
  </si>
  <si>
    <t>25/04/2025</t>
  </si>
  <si>
    <t>28/09/2023</t>
  </si>
  <si>
    <t>28/09/2024</t>
  </si>
  <si>
    <t>13/08/2023</t>
  </si>
  <si>
    <t>28/06/2023</t>
  </si>
  <si>
    <t>18/01/2024</t>
  </si>
  <si>
    <t>24/10/2023</t>
  </si>
  <si>
    <t>17/04/2024</t>
  </si>
  <si>
    <t>29/11/2024</t>
  </si>
  <si>
    <t>20/07/2024</t>
  </si>
  <si>
    <t>16/03/2025</t>
  </si>
  <si>
    <t>22/10/2023</t>
  </si>
  <si>
    <t>14/05/2024</t>
  </si>
  <si>
    <t>18/10/2023</t>
  </si>
  <si>
    <t>26/08/2024</t>
  </si>
  <si>
    <t>15/01/2024</t>
  </si>
  <si>
    <t>23/07/2023</t>
  </si>
  <si>
    <t>27/11/2024</t>
  </si>
  <si>
    <t>26/06/2023</t>
  </si>
  <si>
    <t>25/05/2025</t>
  </si>
  <si>
    <t>31/03/2025</t>
  </si>
  <si>
    <t>14/03/2023</t>
  </si>
  <si>
    <t>21/06/2025</t>
  </si>
  <si>
    <t>26/11/2023</t>
  </si>
  <si>
    <t>29/09/2023</t>
  </si>
  <si>
    <t>19/04/2025</t>
  </si>
  <si>
    <t>15/11/2023</t>
  </si>
  <si>
    <t>18/02/2023</t>
  </si>
  <si>
    <t>16/06/2023</t>
  </si>
  <si>
    <t>18/01/2023</t>
  </si>
  <si>
    <t>29/05/2024</t>
  </si>
  <si>
    <t>25/10/2023</t>
  </si>
  <si>
    <t>28/01/2025</t>
  </si>
  <si>
    <t>14/03/2025</t>
  </si>
  <si>
    <t>20/05/2023</t>
  </si>
  <si>
    <t>14/05/2025</t>
  </si>
  <si>
    <t>15/02/2023</t>
  </si>
  <si>
    <t>16/12/2024</t>
  </si>
  <si>
    <t>15/03/2024</t>
  </si>
  <si>
    <t>27/09/2024</t>
  </si>
  <si>
    <t>16/04/2023</t>
  </si>
  <si>
    <t>13/06/2025</t>
  </si>
  <si>
    <t>25/02/2024</t>
  </si>
  <si>
    <t>18/02/2025</t>
  </si>
  <si>
    <t>29/02/2024</t>
  </si>
  <si>
    <t>19/08/2024</t>
  </si>
  <si>
    <t>26/02/2025</t>
  </si>
  <si>
    <t>18/07/2024</t>
  </si>
  <si>
    <t>23/03/2025</t>
  </si>
  <si>
    <t>29/01/2024</t>
  </si>
  <si>
    <t>14/11/2023</t>
  </si>
  <si>
    <t>29/10/2023</t>
  </si>
  <si>
    <t>18/05/2023</t>
  </si>
  <si>
    <t>30/09/2023</t>
  </si>
  <si>
    <t>23/08/2023</t>
  </si>
  <si>
    <t>30/05/2025</t>
  </si>
  <si>
    <t>28/01/2023</t>
  </si>
  <si>
    <t>16/07/2024</t>
  </si>
  <si>
    <t>31/01/2023</t>
  </si>
  <si>
    <t>14/05/2023</t>
  </si>
  <si>
    <t>30/09/2024</t>
  </si>
  <si>
    <t>27/12/2024</t>
  </si>
  <si>
    <t>23/11/2024</t>
  </si>
  <si>
    <t>24/01/2024</t>
  </si>
  <si>
    <t>19/02/2024</t>
  </si>
  <si>
    <t>15/06/2025</t>
  </si>
  <si>
    <t>21/03/2025</t>
  </si>
  <si>
    <t>21/02/2024</t>
  </si>
  <si>
    <t>25/11/2024</t>
  </si>
  <si>
    <t>26/04/2024</t>
  </si>
  <si>
    <t>22/06/2025</t>
  </si>
  <si>
    <t>16/06/2024</t>
  </si>
  <si>
    <t>21/04/2023</t>
  </si>
  <si>
    <t>17/10/2024</t>
  </si>
  <si>
    <t>27/03/2024</t>
  </si>
  <si>
    <t>16/01/2024</t>
  </si>
  <si>
    <t>24/09/2023</t>
  </si>
  <si>
    <t>26/03/2023</t>
  </si>
  <si>
    <t>23/06/2023</t>
  </si>
  <si>
    <t>29/09/2024</t>
  </si>
  <si>
    <t>30/06/2024</t>
  </si>
  <si>
    <t>29/04/2024</t>
  </si>
  <si>
    <t>24/04/2025</t>
  </si>
  <si>
    <t>18/01/2025</t>
  </si>
  <si>
    <t>23/12/2023</t>
  </si>
  <si>
    <t>24/12/2023</t>
  </si>
  <si>
    <t>18/04/2025</t>
  </si>
  <si>
    <t>26/10/2024</t>
  </si>
  <si>
    <t>19/10/2024</t>
  </si>
  <si>
    <t>15/06/2023</t>
  </si>
  <si>
    <t>21/02/2023</t>
  </si>
  <si>
    <t>30/01/2024</t>
  </si>
  <si>
    <t>18/05/2025</t>
  </si>
  <si>
    <t>22/09/2024</t>
  </si>
  <si>
    <t>13/09/2023</t>
  </si>
  <si>
    <t>13/11/2023</t>
  </si>
  <si>
    <t>25/09/2024</t>
  </si>
  <si>
    <t>23/06/2024</t>
  </si>
  <si>
    <t>22/03/2023</t>
  </si>
  <si>
    <t>30/03/2025</t>
  </si>
  <si>
    <t>26/07/2024</t>
  </si>
  <si>
    <t>16/10/2023</t>
  </si>
  <si>
    <t>21/01/2024</t>
  </si>
  <si>
    <t>21/09/2023</t>
  </si>
  <si>
    <t>18/03/2024</t>
  </si>
  <si>
    <t>25/10/2024</t>
  </si>
  <si>
    <t>29/07/2024</t>
  </si>
  <si>
    <t>22/02/2025</t>
  </si>
  <si>
    <t>23/01/2024</t>
  </si>
  <si>
    <t>28/06/2024</t>
  </si>
  <si>
    <t>30/11/2024</t>
  </si>
  <si>
    <t>24/02/2025</t>
  </si>
  <si>
    <t>15/07/2024</t>
  </si>
  <si>
    <t>13/04/2025</t>
  </si>
  <si>
    <t>24/04/2024</t>
  </si>
  <si>
    <t>13/06/2023</t>
  </si>
  <si>
    <t>24/07/2023</t>
  </si>
  <si>
    <t>17/09/2024</t>
  </si>
  <si>
    <t>21/08/2023</t>
  </si>
  <si>
    <t>26/05/2025</t>
  </si>
  <si>
    <t>16/05/2025</t>
  </si>
  <si>
    <t>29/07/2023</t>
  </si>
  <si>
    <t>17/03/2024</t>
  </si>
  <si>
    <t>17/08/2023</t>
  </si>
  <si>
    <t>13/01/2024</t>
  </si>
  <si>
    <t>20/11/2024</t>
  </si>
  <si>
    <t>29/04/2025</t>
  </si>
  <si>
    <t>19/05/2025</t>
  </si>
  <si>
    <t>13/02/2024</t>
  </si>
  <si>
    <t>31/05/2023</t>
  </si>
  <si>
    <t>26/01/2024</t>
  </si>
  <si>
    <t>14/12/2024</t>
  </si>
  <si>
    <t>25/05/2023</t>
  </si>
  <si>
    <t>18/12/2023</t>
  </si>
  <si>
    <t>14/06/2025</t>
  </si>
  <si>
    <t>14/01/2024</t>
  </si>
  <si>
    <t>19/09/2024</t>
  </si>
  <si>
    <t>13/05/2025</t>
  </si>
  <si>
    <t>27/04/2025</t>
  </si>
  <si>
    <t>28/08/2024</t>
  </si>
  <si>
    <t>30/04/2023</t>
  </si>
  <si>
    <t>26/05/2024</t>
  </si>
  <si>
    <t>25/07/2024</t>
  </si>
  <si>
    <t>15/05/2024</t>
  </si>
  <si>
    <t>23/07/2024</t>
  </si>
  <si>
    <t>21/03/2023</t>
  </si>
  <si>
    <t>23/05/2023</t>
  </si>
  <si>
    <t>23/04/2025</t>
  </si>
  <si>
    <t>28/04/2024</t>
  </si>
  <si>
    <t>13/07/2024</t>
  </si>
  <si>
    <t>23/11/2023</t>
  </si>
  <si>
    <t>27/05/2024</t>
  </si>
  <si>
    <t>31/05/2024</t>
  </si>
  <si>
    <t>13/08/2024</t>
  </si>
  <si>
    <t>22/01/2024</t>
  </si>
  <si>
    <t>16/02/2024</t>
  </si>
  <si>
    <t>21/06/2024</t>
  </si>
  <si>
    <t>20/01/2025</t>
  </si>
  <si>
    <t>17/06/2024</t>
  </si>
  <si>
    <t>20/12/2024</t>
  </si>
  <si>
    <t>20/03/2024</t>
  </si>
  <si>
    <t>14/02/2023</t>
  </si>
  <si>
    <t>16/10/2024</t>
  </si>
  <si>
    <t>26/01/2023</t>
  </si>
  <si>
    <t>16/04/2025</t>
  </si>
  <si>
    <t>22/10/2024</t>
  </si>
  <si>
    <t>13/05/2023</t>
  </si>
  <si>
    <t>13/04/2024</t>
  </si>
  <si>
    <t>18/06/2025</t>
  </si>
  <si>
    <t>20/05/2025</t>
  </si>
  <si>
    <t>27/09/2023</t>
  </si>
  <si>
    <t>25/06/2024</t>
  </si>
  <si>
    <t>14/10/2023</t>
  </si>
  <si>
    <t>23/03/2023</t>
  </si>
  <si>
    <t>19/11/2023</t>
  </si>
  <si>
    <t>27/08/2024</t>
  </si>
  <si>
    <t>21/06/2023</t>
  </si>
  <si>
    <t>19/06/2025</t>
  </si>
  <si>
    <t>13/01/2023</t>
  </si>
  <si>
    <t>31/03/2023</t>
  </si>
  <si>
    <t>26/04/2025</t>
  </si>
  <si>
    <t>25/08/2024</t>
  </si>
  <si>
    <t>21/05/2024</t>
  </si>
  <si>
    <t>24/12/2024</t>
  </si>
  <si>
    <t>15/09/2024</t>
  </si>
  <si>
    <t>29/11/2023</t>
  </si>
  <si>
    <t>24/09/2024</t>
  </si>
  <si>
    <t>29/01/2025</t>
  </si>
  <si>
    <t>30/10/2023</t>
  </si>
  <si>
    <t>20/12/2023</t>
  </si>
  <si>
    <t>25/02/2023</t>
  </si>
  <si>
    <t>20/06/2024</t>
  </si>
  <si>
    <t>26/12/2024</t>
  </si>
  <si>
    <t>17/06/2023</t>
  </si>
  <si>
    <t>24/04/2023</t>
  </si>
  <si>
    <t>20/03/2023</t>
  </si>
  <si>
    <t>13/10/2023</t>
  </si>
  <si>
    <t>16/03/2023</t>
  </si>
  <si>
    <t>28/05/2023</t>
  </si>
  <si>
    <t>14/04/2023</t>
  </si>
  <si>
    <t>16/02/2025</t>
  </si>
  <si>
    <t>24/06/2024</t>
  </si>
  <si>
    <t>17/10/2023</t>
  </si>
  <si>
    <t>23/12/2024</t>
  </si>
  <si>
    <t>27/04/2023</t>
  </si>
  <si>
    <t>17/08/2024</t>
  </si>
  <si>
    <t>16/06/2025</t>
  </si>
  <si>
    <t>13/07/2023</t>
  </si>
  <si>
    <t>22/08/2024</t>
  </si>
  <si>
    <t>Mean (Total_Price)</t>
  </si>
  <si>
    <t>Median (Total_Price)</t>
  </si>
  <si>
    <t>Q1</t>
  </si>
  <si>
    <t>Q2</t>
  </si>
  <si>
    <t>Q3</t>
  </si>
  <si>
    <t>IQR</t>
  </si>
  <si>
    <t>1. Descriptive Statistics</t>
  </si>
  <si>
    <t>Value</t>
  </si>
  <si>
    <t>Count</t>
  </si>
  <si>
    <t>Mean</t>
  </si>
  <si>
    <t>Interpretation</t>
  </si>
  <si>
    <t>• The average order value is 1,053.97.</t>
  </si>
  <si>
    <t>• The median order value is 823.62, meaning that half of all orders are below this value and half are above it.</t>
  </si>
  <si>
    <t>• The mean is higher than the median, indicating a right-skewed distribution caused by some high-value orders.</t>
  </si>
  <si>
    <t>2. Trends and Outliers</t>
  </si>
  <si>
    <t>Trends</t>
  </si>
  <si>
    <t>• Most transactions fall between 410.52 (Q1) and 1,578.48 (Q3).</t>
  </si>
  <si>
    <t>• The distribution of sales is positively skewed because a small number of large transactions increase the average order value.</t>
  </si>
  <si>
    <t>Outlier Analysis</t>
  </si>
  <si>
    <t>• The Interquartile Range (IQR) method was used to identify outliers.</t>
  </si>
  <si>
    <t>Q1 = 410.52</t>
  </si>
  <si>
    <t>IQR = 1,167.96</t>
  </si>
  <si>
    <t>• A total of 8 outliers were identified:</t>
  </si>
  <si>
    <t>Order ID</t>
  </si>
  <si>
    <t>Total Price</t>
  </si>
  <si>
    <t>• The dataset consists of 1,200 valid transaction records.</t>
  </si>
  <si>
    <t>• The average order value (1,053.97) is higher than the median (823.62), indicating the presence of high-value purchases.</t>
  </si>
  <si>
    <t>• The small number of outliers suggests that the dataset is generally consistent, with only a few unusually large purchases.</t>
  </si>
  <si>
    <t xml:space="preserve">Conclusion </t>
  </si>
  <si>
    <t xml:space="preserve">Median </t>
  </si>
  <si>
    <t xml:space="preserve">Statistics </t>
  </si>
  <si>
    <t>Count (Total_Price)</t>
  </si>
  <si>
    <t xml:space="preserve">Upper bound </t>
  </si>
  <si>
    <t>Upper Bound = 3,330.41</t>
  </si>
  <si>
    <t xml:space="preserve">The analysis of the e-commerce dataset revealed that customer spending patterns are generally stable across the 1,200 transactions. </t>
  </si>
  <si>
    <t>Overall, the dataset demonstrates consistent purchasing behavior, with only a few unusually large transactions contributing to increased average sales.</t>
  </si>
  <si>
    <t>• The average order value is approximately 1,054 per order.</t>
  </si>
  <si>
    <t>• Only 8 transactions exceeded the upper bound of 3,330.41 and were identified as outliers.</t>
  </si>
  <si>
    <t>• Any transaction with a Total Price greater than 3,330.41 was classified as an outlier with Total Prices ranging from 3334.00 to 3456.40.</t>
  </si>
  <si>
    <t xml:space="preserve">                      Project  Overview </t>
  </si>
  <si>
    <t xml:space="preserve">Project Overview </t>
  </si>
  <si>
    <t>Key Activities</t>
  </si>
  <si>
    <t>• Performed data cleaning and preprocessing</t>
  </si>
  <si>
    <t>• Standardized and transformed transactional data</t>
  </si>
  <si>
    <t>• Conducted descriptive statistical analysis</t>
  </si>
  <si>
    <t>• Identified sales and customer behavior trends</t>
  </si>
  <si>
    <t>• Generated business insights from transaction data</t>
  </si>
  <si>
    <t xml:space="preserve">This project analyzes an e-commerce sales analysis dataset containing 1,200 records to uncover sales trends, </t>
  </si>
  <si>
    <t>customer behavior patterns, and marketing insights.</t>
  </si>
  <si>
    <t xml:space="preserve"> The dataset contains 1,200 records. </t>
  </si>
  <si>
    <t xml:space="preserve"> Descriptive statistics were calculated using the Total Price variable.</t>
  </si>
  <si>
    <t xml:space="preserve">3. Key Business Insights </t>
  </si>
  <si>
    <t>• Most transactions fell within the interquartile range of 410.52 to 1,578.48.</t>
  </si>
  <si>
    <t>Q3 = 1578.48</t>
  </si>
  <si>
    <t xml:space="preserve">The average order value was 1,053.97, while the median order value was 823.62, indicating a positively skewed distribution influenced </t>
  </si>
  <si>
    <t>by a small number of high-value purchases.</t>
  </si>
  <si>
    <t xml:space="preserve">Most transactions were concentrated within the interquartile range of 410.52 to 1,578.48. Using the IQR method, eight transactions were </t>
  </si>
  <si>
    <t>identified as outliers, with values exceeding the upper bound of 3,330.42.</t>
  </si>
  <si>
    <t xml:space="preserve">E-commerce Sales Analysis &amp; Customer Behavior Patterns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</si>
</sst>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center"/>
    </xf>
    <xf numFmtId="4" fontId="0" fillId="0" borderId="0" xfId="0" applyNumberFormat="1"/>
    <xf numFmtId="2" fontId="0" fillId="0" borderId="0" xfId="0" applyNumberFormat="1"/>
    <xf numFmtId="39" fontId="0" fillId="0" borderId="0" xfId="0" applyNumberFormat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0" borderId="0" xfId="0" applyAlignment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0" fillId="3" borderId="0" xfId="0" applyFont="1" applyFill="1"/>
    <xf numFmtId="0" fontId="6" fillId="3" borderId="0" xfId="0" applyFont="1" applyFill="1"/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N1201"/>
  <sheetViews>
    <sheetView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7E49-875E-3C4E-A4CE-9E6592086B03}">
  <sheetPr>
    <tabColor theme="3"/>
  </sheetPr>
  <dimension ref="A1:Q1201"/>
  <sheetViews>
    <sheetView topLeftCell="M1" zoomScaleNormal="60" zoomScaleSheetLayoutView="100" workbookViewId="0">
      <pane ySplit="1" topLeftCell="M2" activePane="bottomLeft" state="frozen"/>
      <selection activeCell="M1" sqref="M1"/>
      <selection pane="bottomLeft" activeCell="Q16" sqref="Q16"/>
    </sheetView>
  </sheetViews>
  <sheetFormatPr defaultRowHeight="15" x14ac:dyDescent="0.2"/>
  <cols>
    <col min="1" max="1" width="13.046875" customWidth="1"/>
    <col min="2" max="2" width="14.125" style="5" customWidth="1"/>
    <col min="3" max="3" width="12.375" style="6" customWidth="1"/>
    <col min="4" max="4" width="11.02734375" customWidth="1"/>
    <col min="5" max="5" width="8.609375" style="5"/>
    <col min="6" max="6" width="11.1640625" style="5" customWidth="1"/>
    <col min="7" max="7" width="16.41015625" style="6" customWidth="1"/>
    <col min="8" max="8" width="17.890625" customWidth="1"/>
    <col min="9" max="9" width="13.44921875" customWidth="1"/>
    <col min="10" max="10" width="16.41015625" customWidth="1"/>
    <col min="11" max="11" width="13.71875" style="5" customWidth="1"/>
    <col min="12" max="12" width="15.06640625" customWidth="1"/>
    <col min="13" max="13" width="14.796875" customWidth="1"/>
    <col min="14" max="14" width="11.1640625" style="5" customWidth="1"/>
    <col min="16" max="16" width="17.484375" customWidth="1"/>
    <col min="17" max="17" width="13.046875" bestFit="1" customWidth="1"/>
  </cols>
  <sheetData>
    <row r="1" spans="1:17" s="5" customFormat="1" x14ac:dyDescent="0.2">
      <c r="A1" s="3" t="s">
        <v>4283</v>
      </c>
      <c r="B1" s="3" t="s">
        <v>1</v>
      </c>
      <c r="C1" s="3" t="s">
        <v>4284</v>
      </c>
      <c r="D1" s="3" t="s">
        <v>3</v>
      </c>
      <c r="E1" s="3" t="s">
        <v>4</v>
      </c>
      <c r="F1" s="3" t="s">
        <v>4285</v>
      </c>
      <c r="G1" s="3" t="s">
        <v>4286</v>
      </c>
      <c r="H1" s="3" t="s">
        <v>4287</v>
      </c>
      <c r="I1" s="3" t="s">
        <v>4288</v>
      </c>
      <c r="J1" s="3" t="s">
        <v>4289</v>
      </c>
      <c r="K1" s="3" t="s">
        <v>4290</v>
      </c>
      <c r="L1" s="3" t="s">
        <v>4291</v>
      </c>
      <c r="M1" s="3" t="s">
        <v>4292</v>
      </c>
      <c r="N1" s="3" t="s">
        <v>4293</v>
      </c>
    </row>
    <row r="2" spans="1:17" x14ac:dyDescent="0.2">
      <c r="A2" t="s">
        <v>14</v>
      </c>
      <c r="B2" s="4">
        <v>45017</v>
      </c>
      <c r="C2" s="6" t="s">
        <v>1214</v>
      </c>
      <c r="D2" t="s">
        <v>2403</v>
      </c>
      <c r="E2" s="5">
        <v>5</v>
      </c>
      <c r="F2" s="5">
        <v>570.62</v>
      </c>
      <c r="G2" s="6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7">
        <v>2853.1</v>
      </c>
    </row>
    <row r="3" spans="1:17" x14ac:dyDescent="0.2">
      <c r="A3" t="s">
        <v>15</v>
      </c>
      <c r="B3" s="5" t="s">
        <v>4294</v>
      </c>
      <c r="C3" s="6" t="s">
        <v>1215</v>
      </c>
      <c r="D3" t="s">
        <v>2404</v>
      </c>
      <c r="E3" s="5">
        <v>2</v>
      </c>
      <c r="F3" s="5">
        <v>151.35</v>
      </c>
      <c r="G3" s="6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5">
        <v>302.7</v>
      </c>
    </row>
    <row r="4" spans="1:17" x14ac:dyDescent="0.2">
      <c r="A4" t="s">
        <v>16</v>
      </c>
      <c r="B4" s="5" t="s">
        <v>4295</v>
      </c>
      <c r="C4" s="6" t="s">
        <v>1216</v>
      </c>
      <c r="D4" t="s">
        <v>2405</v>
      </c>
      <c r="E4" s="5">
        <v>5</v>
      </c>
      <c r="F4" s="5">
        <v>550.67999999999995</v>
      </c>
      <c r="G4" s="6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7">
        <v>2753.4</v>
      </c>
    </row>
    <row r="5" spans="1:17" x14ac:dyDescent="0.2">
      <c r="A5" t="s">
        <v>17</v>
      </c>
      <c r="B5" s="5" t="s">
        <v>4296</v>
      </c>
      <c r="C5" s="6" t="s">
        <v>1217</v>
      </c>
      <c r="D5" t="s">
        <v>2406</v>
      </c>
      <c r="E5" s="5">
        <v>1</v>
      </c>
      <c r="F5" s="5">
        <v>273.19</v>
      </c>
      <c r="G5" s="6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5">
        <v>273.19</v>
      </c>
      <c r="P5" t="s">
        <v>4736</v>
      </c>
      <c r="Q5">
        <f>COUNT(N2:N1201)</f>
        <v>1200</v>
      </c>
    </row>
    <row r="6" spans="1:17" x14ac:dyDescent="0.2">
      <c r="A6" t="s">
        <v>18</v>
      </c>
      <c r="B6" s="4">
        <v>45874</v>
      </c>
      <c r="C6" s="6" t="s">
        <v>1218</v>
      </c>
      <c r="D6" t="s">
        <v>2407</v>
      </c>
      <c r="E6" s="5">
        <v>4</v>
      </c>
      <c r="F6" s="5">
        <v>626.01</v>
      </c>
      <c r="G6" s="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7">
        <v>2504.04</v>
      </c>
      <c r="P6" t="s">
        <v>4705</v>
      </c>
      <c r="Q6" s="8">
        <f>AVERAGE(N2:N1201)</f>
        <v>1053.9683000000005</v>
      </c>
    </row>
    <row r="7" spans="1:17" x14ac:dyDescent="0.2">
      <c r="A7" t="s">
        <v>19</v>
      </c>
      <c r="B7" s="5" t="s">
        <v>4297</v>
      </c>
      <c r="C7" s="6" t="s">
        <v>1219</v>
      </c>
      <c r="D7" t="s">
        <v>2404</v>
      </c>
      <c r="E7" s="5">
        <v>2</v>
      </c>
      <c r="F7" s="5">
        <v>245.86</v>
      </c>
      <c r="G7" s="6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5">
        <v>491.72</v>
      </c>
      <c r="P7" t="s">
        <v>4706</v>
      </c>
      <c r="Q7" s="8">
        <f>MEDIAN(N2:N1201)</f>
        <v>823.61500000000001</v>
      </c>
    </row>
    <row r="8" spans="1:17" x14ac:dyDescent="0.2">
      <c r="A8" t="s">
        <v>20</v>
      </c>
      <c r="B8" s="5" t="s">
        <v>4298</v>
      </c>
      <c r="C8" s="6" t="s">
        <v>1220</v>
      </c>
      <c r="D8" t="s">
        <v>2408</v>
      </c>
      <c r="E8" s="5">
        <v>1</v>
      </c>
      <c r="F8" s="5">
        <v>664.42</v>
      </c>
      <c r="G8" s="6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5">
        <v>664.42</v>
      </c>
    </row>
    <row r="9" spans="1:17" x14ac:dyDescent="0.2">
      <c r="A9" t="s">
        <v>21</v>
      </c>
      <c r="B9" s="4">
        <v>45265</v>
      </c>
      <c r="C9" s="6" t="s">
        <v>1221</v>
      </c>
      <c r="D9" t="s">
        <v>2403</v>
      </c>
      <c r="E9" s="5">
        <v>5</v>
      </c>
      <c r="F9" s="5">
        <v>149.55000000000001</v>
      </c>
      <c r="G9" s="6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5">
        <v>747.75</v>
      </c>
      <c r="P9" t="s">
        <v>4707</v>
      </c>
      <c r="Q9">
        <f>_xlfn.QUARTILE.INC(N:N,1)</f>
        <v>410.52</v>
      </c>
    </row>
    <row r="10" spans="1:17" x14ac:dyDescent="0.2">
      <c r="A10" t="s">
        <v>22</v>
      </c>
      <c r="B10" s="4">
        <v>45692</v>
      </c>
      <c r="C10" s="6" t="s">
        <v>1222</v>
      </c>
      <c r="D10" t="s">
        <v>2404</v>
      </c>
      <c r="E10" s="5">
        <v>2</v>
      </c>
      <c r="F10" s="5">
        <v>134.28</v>
      </c>
      <c r="G10" s="6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4299</v>
      </c>
      <c r="M10" t="s">
        <v>4280</v>
      </c>
      <c r="N10" s="5">
        <v>268.56</v>
      </c>
      <c r="P10" t="s">
        <v>4708</v>
      </c>
      <c r="Q10" s="10">
        <f>_xlfn.QUARTILE.INC(N:N,2)</f>
        <v>823.61500000000001</v>
      </c>
    </row>
    <row r="11" spans="1:17" x14ac:dyDescent="0.2">
      <c r="A11" t="s">
        <v>23</v>
      </c>
      <c r="B11" s="5" t="s">
        <v>4300</v>
      </c>
      <c r="C11" s="6" t="s">
        <v>1223</v>
      </c>
      <c r="D11" t="s">
        <v>2409</v>
      </c>
      <c r="E11" s="5">
        <v>4</v>
      </c>
      <c r="F11" s="5">
        <v>509.38</v>
      </c>
      <c r="G11" s="6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7">
        <v>2037.52</v>
      </c>
      <c r="P11" t="s">
        <v>4709</v>
      </c>
      <c r="Q11" s="9">
        <f>_xlfn.QUARTILE.INC(N:N,3)</f>
        <v>1578.4749999999999</v>
      </c>
    </row>
    <row r="12" spans="1:17" x14ac:dyDescent="0.2">
      <c r="A12" t="s">
        <v>24</v>
      </c>
      <c r="B12" s="5" t="s">
        <v>4301</v>
      </c>
      <c r="C12" s="6" t="s">
        <v>1224</v>
      </c>
      <c r="D12" t="s">
        <v>2405</v>
      </c>
      <c r="E12" s="5">
        <v>5</v>
      </c>
      <c r="F12" s="5">
        <v>625.97</v>
      </c>
      <c r="G12" s="6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7">
        <v>3129.85</v>
      </c>
    </row>
    <row r="13" spans="1:17" x14ac:dyDescent="0.2">
      <c r="A13" t="s">
        <v>25</v>
      </c>
      <c r="B13" s="5" t="s">
        <v>4302</v>
      </c>
      <c r="C13" s="6" t="s">
        <v>1225</v>
      </c>
      <c r="D13" t="s">
        <v>2403</v>
      </c>
      <c r="E13" s="5">
        <v>3</v>
      </c>
      <c r="F13" s="5">
        <v>49.14</v>
      </c>
      <c r="G13" s="6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5">
        <v>147.41999999999999</v>
      </c>
      <c r="P13" t="s">
        <v>4710</v>
      </c>
      <c r="Q13" s="9">
        <f>Q11-Q9</f>
        <v>1167.9549999999999</v>
      </c>
    </row>
    <row r="14" spans="1:17" x14ac:dyDescent="0.2">
      <c r="A14" t="s">
        <v>26</v>
      </c>
      <c r="B14" s="5" t="s">
        <v>4303</v>
      </c>
      <c r="C14" s="6" t="s">
        <v>1226</v>
      </c>
      <c r="D14" t="s">
        <v>2403</v>
      </c>
      <c r="E14" s="5">
        <v>2</v>
      </c>
      <c r="F14" s="5">
        <v>180.5</v>
      </c>
      <c r="G14" s="6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5">
        <v>361</v>
      </c>
    </row>
    <row r="15" spans="1:17" x14ac:dyDescent="0.2">
      <c r="A15" t="s">
        <v>27</v>
      </c>
      <c r="B15" s="5" t="s">
        <v>4304</v>
      </c>
      <c r="C15" s="6" t="s">
        <v>1227</v>
      </c>
      <c r="D15" t="s">
        <v>2408</v>
      </c>
      <c r="E15" s="5">
        <v>3</v>
      </c>
      <c r="F15" s="5">
        <v>201.49</v>
      </c>
      <c r="G15" s="6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5">
        <v>604.47</v>
      </c>
      <c r="P15" t="s">
        <v>4737</v>
      </c>
      <c r="Q15" s="9">
        <f>Q11 +1.5*Q13</f>
        <v>3330.4074999999998</v>
      </c>
    </row>
    <row r="16" spans="1:17" x14ac:dyDescent="0.2">
      <c r="A16" t="s">
        <v>28</v>
      </c>
      <c r="B16" s="5" t="s">
        <v>4305</v>
      </c>
      <c r="C16" s="6" t="s">
        <v>1228</v>
      </c>
      <c r="D16" t="s">
        <v>2405</v>
      </c>
      <c r="E16" s="5">
        <v>2</v>
      </c>
      <c r="F16" s="5">
        <v>393.33</v>
      </c>
      <c r="G16" s="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5">
        <v>786.66</v>
      </c>
    </row>
    <row r="17" spans="1:14" x14ac:dyDescent="0.2">
      <c r="A17" t="s">
        <v>29</v>
      </c>
      <c r="B17" s="5" t="s">
        <v>4306</v>
      </c>
      <c r="C17" s="6" t="s">
        <v>1229</v>
      </c>
      <c r="D17" t="s">
        <v>2407</v>
      </c>
      <c r="E17" s="5">
        <v>1</v>
      </c>
      <c r="F17" s="5">
        <v>473.96</v>
      </c>
      <c r="G17" s="6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4299</v>
      </c>
      <c r="M17" t="s">
        <v>4282</v>
      </c>
      <c r="N17" s="5">
        <v>473.96</v>
      </c>
    </row>
    <row r="18" spans="1:14" x14ac:dyDescent="0.2">
      <c r="A18" t="s">
        <v>30</v>
      </c>
      <c r="B18" s="5" t="s">
        <v>4307</v>
      </c>
      <c r="C18" s="6" t="s">
        <v>1230</v>
      </c>
      <c r="D18" t="s">
        <v>2407</v>
      </c>
      <c r="E18" s="5">
        <v>2</v>
      </c>
      <c r="F18" s="5">
        <v>533.80999999999995</v>
      </c>
      <c r="G18" s="6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7">
        <v>1067.6199999999999</v>
      </c>
    </row>
    <row r="19" spans="1:14" x14ac:dyDescent="0.2">
      <c r="A19" t="s">
        <v>31</v>
      </c>
      <c r="B19" s="4">
        <v>45325</v>
      </c>
      <c r="C19" s="6" t="s">
        <v>1231</v>
      </c>
      <c r="D19" t="s">
        <v>2405</v>
      </c>
      <c r="E19" s="5">
        <v>1</v>
      </c>
      <c r="F19" s="5">
        <v>423.4</v>
      </c>
      <c r="G19" s="6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4299</v>
      </c>
      <c r="M19" t="s">
        <v>4279</v>
      </c>
      <c r="N19" s="5">
        <v>423.4</v>
      </c>
    </row>
    <row r="20" spans="1:14" x14ac:dyDescent="0.2">
      <c r="A20" t="s">
        <v>32</v>
      </c>
      <c r="B20" s="5" t="s">
        <v>4308</v>
      </c>
      <c r="C20" s="6" t="s">
        <v>1232</v>
      </c>
      <c r="D20" t="s">
        <v>2409</v>
      </c>
      <c r="E20" s="5">
        <v>1</v>
      </c>
      <c r="F20" s="5">
        <v>431.44</v>
      </c>
      <c r="G20" s="6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5">
        <v>431.44</v>
      </c>
    </row>
    <row r="21" spans="1:14" x14ac:dyDescent="0.2">
      <c r="A21" t="s">
        <v>33</v>
      </c>
      <c r="B21" s="5" t="s">
        <v>4309</v>
      </c>
      <c r="C21" s="6" t="s">
        <v>1233</v>
      </c>
      <c r="D21" t="s">
        <v>2403</v>
      </c>
      <c r="E21" s="5">
        <v>5</v>
      </c>
      <c r="F21" s="5">
        <v>224</v>
      </c>
      <c r="G21" s="6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7">
        <v>1120</v>
      </c>
    </row>
    <row r="22" spans="1:14" x14ac:dyDescent="0.2">
      <c r="A22" t="s">
        <v>34</v>
      </c>
      <c r="B22" s="4">
        <v>45143</v>
      </c>
      <c r="C22" s="6" t="s">
        <v>1234</v>
      </c>
      <c r="D22" t="s">
        <v>2406</v>
      </c>
      <c r="E22" s="5">
        <v>5</v>
      </c>
      <c r="F22" s="5">
        <v>62.51</v>
      </c>
      <c r="G22" s="6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5">
        <v>312.55</v>
      </c>
    </row>
    <row r="23" spans="1:14" x14ac:dyDescent="0.2">
      <c r="A23" t="s">
        <v>35</v>
      </c>
      <c r="B23" s="5" t="s">
        <v>4310</v>
      </c>
      <c r="C23" s="6" t="s">
        <v>1235</v>
      </c>
      <c r="D23" t="s">
        <v>2403</v>
      </c>
      <c r="E23" s="5">
        <v>4</v>
      </c>
      <c r="F23" s="5">
        <v>342.95</v>
      </c>
      <c r="G23" s="6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4299</v>
      </c>
      <c r="M23" t="s">
        <v>4282</v>
      </c>
      <c r="N23" s="7">
        <v>1371.8</v>
      </c>
    </row>
    <row r="24" spans="1:14" x14ac:dyDescent="0.2">
      <c r="A24" t="s">
        <v>36</v>
      </c>
      <c r="B24" s="5" t="s">
        <v>4311</v>
      </c>
      <c r="C24" s="6" t="s">
        <v>1236</v>
      </c>
      <c r="D24" t="s">
        <v>2403</v>
      </c>
      <c r="E24" s="5">
        <v>2</v>
      </c>
      <c r="F24" s="5">
        <v>49.62</v>
      </c>
      <c r="G24" s="6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5">
        <v>99.24</v>
      </c>
    </row>
    <row r="25" spans="1:14" x14ac:dyDescent="0.2">
      <c r="A25" t="s">
        <v>37</v>
      </c>
      <c r="B25" s="4">
        <v>45904</v>
      </c>
      <c r="C25" s="6" t="s">
        <v>1237</v>
      </c>
      <c r="D25" t="s">
        <v>2404</v>
      </c>
      <c r="E25" s="5">
        <v>4</v>
      </c>
      <c r="F25" s="5">
        <v>273.25</v>
      </c>
      <c r="G25" s="6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7">
        <v>1093</v>
      </c>
    </row>
    <row r="26" spans="1:14" x14ac:dyDescent="0.2">
      <c r="A26" t="s">
        <v>38</v>
      </c>
      <c r="B26" s="5" t="s">
        <v>4312</v>
      </c>
      <c r="C26" s="6" t="s">
        <v>1238</v>
      </c>
      <c r="D26" t="s">
        <v>2408</v>
      </c>
      <c r="E26" s="5">
        <v>2</v>
      </c>
      <c r="F26" s="5">
        <v>230.95</v>
      </c>
      <c r="G26" s="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5">
        <v>461.9</v>
      </c>
    </row>
    <row r="27" spans="1:14" x14ac:dyDescent="0.2">
      <c r="A27" t="s">
        <v>39</v>
      </c>
      <c r="B27" s="5" t="s">
        <v>4313</v>
      </c>
      <c r="C27" s="6" t="s">
        <v>1239</v>
      </c>
      <c r="D27" t="s">
        <v>2403</v>
      </c>
      <c r="E27" s="5">
        <v>1</v>
      </c>
      <c r="F27" s="5">
        <v>399.98</v>
      </c>
      <c r="G27" s="6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5">
        <v>399.98</v>
      </c>
    </row>
    <row r="28" spans="1:14" x14ac:dyDescent="0.2">
      <c r="A28" t="s">
        <v>40</v>
      </c>
      <c r="B28" s="4">
        <v>45446</v>
      </c>
      <c r="C28" s="6" t="s">
        <v>1240</v>
      </c>
      <c r="D28" t="s">
        <v>2408</v>
      </c>
      <c r="E28" s="5">
        <v>5</v>
      </c>
      <c r="F28" s="5">
        <v>59.55</v>
      </c>
      <c r="G28" s="6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4299</v>
      </c>
      <c r="M28" t="s">
        <v>4279</v>
      </c>
      <c r="N28" s="5">
        <v>297.75</v>
      </c>
    </row>
    <row r="29" spans="1:14" x14ac:dyDescent="0.2">
      <c r="A29" t="s">
        <v>41</v>
      </c>
      <c r="B29" s="5" t="s">
        <v>4314</v>
      </c>
      <c r="C29" s="6" t="s">
        <v>1241</v>
      </c>
      <c r="D29" t="s">
        <v>2407</v>
      </c>
      <c r="E29" s="5">
        <v>1</v>
      </c>
      <c r="F29" s="5">
        <v>472.74</v>
      </c>
      <c r="G29" s="6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5">
        <v>472.74</v>
      </c>
    </row>
    <row r="30" spans="1:14" x14ac:dyDescent="0.2">
      <c r="A30" t="s">
        <v>42</v>
      </c>
      <c r="B30" s="5" t="s">
        <v>4300</v>
      </c>
      <c r="C30" s="6" t="s">
        <v>1242</v>
      </c>
      <c r="D30" t="s">
        <v>2404</v>
      </c>
      <c r="E30" s="5">
        <v>4</v>
      </c>
      <c r="F30" s="5">
        <v>160.07</v>
      </c>
      <c r="G30" s="6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4299</v>
      </c>
      <c r="M30" t="s">
        <v>4280</v>
      </c>
      <c r="N30" s="5">
        <v>640.28</v>
      </c>
    </row>
    <row r="31" spans="1:14" x14ac:dyDescent="0.2">
      <c r="A31" t="s">
        <v>43</v>
      </c>
      <c r="B31" s="5" t="s">
        <v>4315</v>
      </c>
      <c r="C31" s="6" t="s">
        <v>1243</v>
      </c>
      <c r="D31" t="s">
        <v>2409</v>
      </c>
      <c r="E31" s="5">
        <v>3</v>
      </c>
      <c r="F31" s="5">
        <v>423.53</v>
      </c>
      <c r="G31" s="6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7">
        <v>1270.5899999999999</v>
      </c>
    </row>
    <row r="32" spans="1:14" x14ac:dyDescent="0.2">
      <c r="A32" t="s">
        <v>44</v>
      </c>
      <c r="B32" s="5" t="s">
        <v>4316</v>
      </c>
      <c r="C32" s="6" t="s">
        <v>1244</v>
      </c>
      <c r="D32" t="s">
        <v>2403</v>
      </c>
      <c r="E32" s="5">
        <v>2</v>
      </c>
      <c r="F32" s="5">
        <v>426.7</v>
      </c>
      <c r="G32" s="6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5">
        <v>853.4</v>
      </c>
    </row>
    <row r="33" spans="1:14" x14ac:dyDescent="0.2">
      <c r="A33" t="s">
        <v>45</v>
      </c>
      <c r="B33" s="5" t="s">
        <v>4317</v>
      </c>
      <c r="C33" s="6" t="s">
        <v>1245</v>
      </c>
      <c r="D33" t="s">
        <v>2406</v>
      </c>
      <c r="E33" s="5">
        <v>3</v>
      </c>
      <c r="F33" s="5">
        <v>500.08</v>
      </c>
      <c r="G33" s="6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4299</v>
      </c>
      <c r="M33" t="s">
        <v>4281</v>
      </c>
      <c r="N33" s="7">
        <v>1500.24</v>
      </c>
    </row>
    <row r="34" spans="1:14" x14ac:dyDescent="0.2">
      <c r="A34" t="s">
        <v>46</v>
      </c>
      <c r="B34" s="4">
        <v>44931</v>
      </c>
      <c r="C34" s="6" t="s">
        <v>1246</v>
      </c>
      <c r="D34" t="s">
        <v>2405</v>
      </c>
      <c r="E34" s="5">
        <v>5</v>
      </c>
      <c r="F34" s="5">
        <v>536.72</v>
      </c>
      <c r="G34" s="6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4299</v>
      </c>
      <c r="M34" t="s">
        <v>4280</v>
      </c>
      <c r="N34" s="7">
        <v>2683.6</v>
      </c>
    </row>
    <row r="35" spans="1:14" x14ac:dyDescent="0.2">
      <c r="A35" t="s">
        <v>47</v>
      </c>
      <c r="B35" s="4">
        <v>45052</v>
      </c>
      <c r="C35" s="6" t="s">
        <v>1247</v>
      </c>
      <c r="D35" t="s">
        <v>2406</v>
      </c>
      <c r="E35" s="5">
        <v>1</v>
      </c>
      <c r="F35" s="5">
        <v>162.77000000000001</v>
      </c>
      <c r="G35" s="6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5">
        <v>162.77000000000001</v>
      </c>
    </row>
    <row r="36" spans="1:14" x14ac:dyDescent="0.2">
      <c r="A36" t="s">
        <v>48</v>
      </c>
      <c r="B36" s="4">
        <v>45108</v>
      </c>
      <c r="C36" s="6" t="s">
        <v>1248</v>
      </c>
      <c r="D36" t="s">
        <v>2406</v>
      </c>
      <c r="E36" s="5">
        <v>4</v>
      </c>
      <c r="F36" s="5">
        <v>576.52</v>
      </c>
      <c r="G36" s="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7">
        <v>2306.08</v>
      </c>
    </row>
    <row r="37" spans="1:14" x14ac:dyDescent="0.2">
      <c r="A37" t="s">
        <v>49</v>
      </c>
      <c r="B37" s="4">
        <v>45485</v>
      </c>
      <c r="C37" s="6" t="s">
        <v>1249</v>
      </c>
      <c r="D37" t="s">
        <v>2403</v>
      </c>
      <c r="E37" s="5">
        <v>2</v>
      </c>
      <c r="F37" s="5">
        <v>465.15</v>
      </c>
      <c r="G37" s="6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5">
        <v>930.3</v>
      </c>
    </row>
    <row r="38" spans="1:14" x14ac:dyDescent="0.2">
      <c r="A38" t="s">
        <v>50</v>
      </c>
      <c r="B38" s="4">
        <v>45874</v>
      </c>
      <c r="C38" s="6" t="s">
        <v>1250</v>
      </c>
      <c r="D38" t="s">
        <v>2408</v>
      </c>
      <c r="E38" s="5">
        <v>2</v>
      </c>
      <c r="F38" s="5">
        <v>534.42999999999995</v>
      </c>
      <c r="G38" s="6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4299</v>
      </c>
      <c r="M38" t="s">
        <v>4281</v>
      </c>
      <c r="N38" s="7">
        <v>1068.8599999999999</v>
      </c>
    </row>
    <row r="39" spans="1:14" x14ac:dyDescent="0.2">
      <c r="A39" t="s">
        <v>51</v>
      </c>
      <c r="B39" s="5" t="s">
        <v>4318</v>
      </c>
      <c r="C39" s="6" t="s">
        <v>1251</v>
      </c>
      <c r="D39" t="s">
        <v>2408</v>
      </c>
      <c r="E39" s="5">
        <v>2</v>
      </c>
      <c r="F39" s="5">
        <v>76.739999999999995</v>
      </c>
      <c r="G39" s="6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5">
        <v>153.47999999999999</v>
      </c>
    </row>
    <row r="40" spans="1:14" x14ac:dyDescent="0.2">
      <c r="A40" t="s">
        <v>52</v>
      </c>
      <c r="B40" s="5" t="s">
        <v>4319</v>
      </c>
      <c r="C40" s="6" t="s">
        <v>1252</v>
      </c>
      <c r="D40" t="s">
        <v>2408</v>
      </c>
      <c r="E40" s="5">
        <v>1</v>
      </c>
      <c r="F40" s="5">
        <v>245.89</v>
      </c>
      <c r="G40" s="6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5">
        <v>245.89</v>
      </c>
    </row>
    <row r="41" spans="1:14" x14ac:dyDescent="0.2">
      <c r="A41" t="s">
        <v>53</v>
      </c>
      <c r="B41" s="5" t="s">
        <v>4320</v>
      </c>
      <c r="C41" s="6" t="s">
        <v>1253</v>
      </c>
      <c r="D41" t="s">
        <v>2407</v>
      </c>
      <c r="E41" s="5">
        <v>3</v>
      </c>
      <c r="F41" s="5">
        <v>256.45999999999998</v>
      </c>
      <c r="G41" s="6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5">
        <v>769.38</v>
      </c>
    </row>
    <row r="42" spans="1:14" x14ac:dyDescent="0.2">
      <c r="A42" t="s">
        <v>54</v>
      </c>
      <c r="B42" s="5" t="s">
        <v>4321</v>
      </c>
      <c r="C42" s="6" t="s">
        <v>1254</v>
      </c>
      <c r="D42" t="s">
        <v>2409</v>
      </c>
      <c r="E42" s="5">
        <v>2</v>
      </c>
      <c r="F42" s="5">
        <v>344.02</v>
      </c>
      <c r="G42" s="6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5">
        <v>688.04</v>
      </c>
    </row>
    <row r="43" spans="1:14" x14ac:dyDescent="0.2">
      <c r="A43" t="s">
        <v>55</v>
      </c>
      <c r="B43" s="4">
        <v>45058</v>
      </c>
      <c r="C43" s="6" t="s">
        <v>1255</v>
      </c>
      <c r="D43" t="s">
        <v>2403</v>
      </c>
      <c r="E43" s="5">
        <v>3</v>
      </c>
      <c r="F43" s="5">
        <v>611.45000000000005</v>
      </c>
      <c r="G43" s="6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7">
        <v>1834.35</v>
      </c>
    </row>
    <row r="44" spans="1:14" x14ac:dyDescent="0.2">
      <c r="A44" t="s">
        <v>56</v>
      </c>
      <c r="B44" s="4">
        <v>45448</v>
      </c>
      <c r="C44" s="6" t="s">
        <v>1256</v>
      </c>
      <c r="D44" t="s">
        <v>2407</v>
      </c>
      <c r="E44" s="5">
        <v>2</v>
      </c>
      <c r="F44" s="5">
        <v>151.66</v>
      </c>
      <c r="G44" s="6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4299</v>
      </c>
      <c r="M44" t="s">
        <v>4278</v>
      </c>
      <c r="N44" s="5">
        <v>303.32</v>
      </c>
    </row>
    <row r="45" spans="1:14" x14ac:dyDescent="0.2">
      <c r="A45" t="s">
        <v>57</v>
      </c>
      <c r="B45" s="5" t="s">
        <v>4322</v>
      </c>
      <c r="C45" s="6" t="s">
        <v>1257</v>
      </c>
      <c r="D45" t="s">
        <v>2406</v>
      </c>
      <c r="E45" s="5">
        <v>3</v>
      </c>
      <c r="F45" s="5">
        <v>499.21</v>
      </c>
      <c r="G45" s="6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4299</v>
      </c>
      <c r="M45" t="s">
        <v>4278</v>
      </c>
      <c r="N45" s="7">
        <v>1497.63</v>
      </c>
    </row>
    <row r="46" spans="1:14" x14ac:dyDescent="0.2">
      <c r="A46" t="s">
        <v>58</v>
      </c>
      <c r="B46" s="5" t="s">
        <v>4323</v>
      </c>
      <c r="C46" s="6" t="s">
        <v>1258</v>
      </c>
      <c r="D46" t="s">
        <v>2404</v>
      </c>
      <c r="E46" s="5">
        <v>2</v>
      </c>
      <c r="F46" s="5">
        <v>550.17999999999995</v>
      </c>
      <c r="G46" s="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7">
        <v>1100.3599999999999</v>
      </c>
    </row>
    <row r="47" spans="1:14" x14ac:dyDescent="0.2">
      <c r="A47" t="s">
        <v>59</v>
      </c>
      <c r="B47" s="4">
        <v>45567</v>
      </c>
      <c r="C47" s="6" t="s">
        <v>1259</v>
      </c>
      <c r="D47" t="s">
        <v>2406</v>
      </c>
      <c r="E47" s="5">
        <v>1</v>
      </c>
      <c r="F47" s="5">
        <v>317.25</v>
      </c>
      <c r="G47" s="6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5">
        <v>317.25</v>
      </c>
    </row>
    <row r="48" spans="1:14" x14ac:dyDescent="0.2">
      <c r="A48" t="s">
        <v>60</v>
      </c>
      <c r="B48" s="5" t="s">
        <v>4324</v>
      </c>
      <c r="C48" s="6" t="s">
        <v>1260</v>
      </c>
      <c r="D48" t="s">
        <v>2403</v>
      </c>
      <c r="E48" s="5">
        <v>4</v>
      </c>
      <c r="F48" s="5">
        <v>550.14</v>
      </c>
      <c r="G48" s="6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7">
        <v>2200.56</v>
      </c>
    </row>
    <row r="49" spans="1:14" x14ac:dyDescent="0.2">
      <c r="A49" t="s">
        <v>61</v>
      </c>
      <c r="B49" s="5" t="s">
        <v>4325</v>
      </c>
      <c r="C49" s="6" t="s">
        <v>1261</v>
      </c>
      <c r="D49" t="s">
        <v>2409</v>
      </c>
      <c r="E49" s="5">
        <v>2</v>
      </c>
      <c r="F49" s="5">
        <v>209.94</v>
      </c>
      <c r="G49" s="6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5">
        <v>419.88</v>
      </c>
    </row>
    <row r="50" spans="1:14" x14ac:dyDescent="0.2">
      <c r="A50" t="s">
        <v>62</v>
      </c>
      <c r="B50" s="5" t="s">
        <v>4326</v>
      </c>
      <c r="C50" s="6" t="s">
        <v>1262</v>
      </c>
      <c r="D50" t="s">
        <v>2403</v>
      </c>
      <c r="E50" s="5">
        <v>2</v>
      </c>
      <c r="F50" s="5">
        <v>80.77</v>
      </c>
      <c r="G50" s="6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4299</v>
      </c>
      <c r="M50" t="s">
        <v>4282</v>
      </c>
      <c r="N50" s="5">
        <v>161.54</v>
      </c>
    </row>
    <row r="51" spans="1:14" x14ac:dyDescent="0.2">
      <c r="A51" t="s">
        <v>63</v>
      </c>
      <c r="B51" s="4">
        <v>45117</v>
      </c>
      <c r="C51" s="6" t="s">
        <v>1263</v>
      </c>
      <c r="D51" t="s">
        <v>2407</v>
      </c>
      <c r="E51" s="5">
        <v>1</v>
      </c>
      <c r="F51" s="5">
        <v>30.44</v>
      </c>
      <c r="G51" s="6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5">
        <v>30.44</v>
      </c>
    </row>
    <row r="52" spans="1:14" x14ac:dyDescent="0.2">
      <c r="A52" t="s">
        <v>64</v>
      </c>
      <c r="B52" s="5" t="s">
        <v>4327</v>
      </c>
      <c r="C52" s="6" t="s">
        <v>1264</v>
      </c>
      <c r="D52" t="s">
        <v>2405</v>
      </c>
      <c r="E52" s="5">
        <v>1</v>
      </c>
      <c r="F52" s="5">
        <v>179.22</v>
      </c>
      <c r="G52" s="6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5">
        <v>179.22</v>
      </c>
    </row>
    <row r="53" spans="1:14" x14ac:dyDescent="0.2">
      <c r="A53" t="s">
        <v>65</v>
      </c>
      <c r="B53" s="5" t="s">
        <v>4328</v>
      </c>
      <c r="C53" s="6" t="s">
        <v>1265</v>
      </c>
      <c r="D53" t="s">
        <v>2405</v>
      </c>
      <c r="E53" s="5">
        <v>1</v>
      </c>
      <c r="F53" s="5">
        <v>388.33</v>
      </c>
      <c r="G53" s="6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5">
        <v>388.33</v>
      </c>
    </row>
    <row r="54" spans="1:14" x14ac:dyDescent="0.2">
      <c r="A54" t="s">
        <v>66</v>
      </c>
      <c r="B54" s="4">
        <v>45513</v>
      </c>
      <c r="C54" s="6" t="s">
        <v>1266</v>
      </c>
      <c r="D54" t="s">
        <v>2405</v>
      </c>
      <c r="E54" s="5">
        <v>1</v>
      </c>
      <c r="F54" s="5">
        <v>586.44000000000005</v>
      </c>
      <c r="G54" s="6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5">
        <v>586.44000000000005</v>
      </c>
    </row>
    <row r="55" spans="1:14" x14ac:dyDescent="0.2">
      <c r="A55" t="s">
        <v>67</v>
      </c>
      <c r="B55" s="5" t="s">
        <v>4329</v>
      </c>
      <c r="C55" s="6" t="s">
        <v>1267</v>
      </c>
      <c r="D55" t="s">
        <v>2404</v>
      </c>
      <c r="E55" s="5">
        <v>4</v>
      </c>
      <c r="F55" s="5">
        <v>488.78</v>
      </c>
      <c r="G55" s="6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7">
        <v>1955.12</v>
      </c>
    </row>
    <row r="56" spans="1:14" x14ac:dyDescent="0.2">
      <c r="A56" t="s">
        <v>68</v>
      </c>
      <c r="B56" s="5" t="s">
        <v>4330</v>
      </c>
      <c r="C56" s="6" t="s">
        <v>1268</v>
      </c>
      <c r="D56" t="s">
        <v>2406</v>
      </c>
      <c r="E56" s="5">
        <v>1</v>
      </c>
      <c r="F56" s="5">
        <v>280.25</v>
      </c>
      <c r="G56" s="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5">
        <v>280.25</v>
      </c>
    </row>
    <row r="57" spans="1:14" x14ac:dyDescent="0.2">
      <c r="A57" t="s">
        <v>69</v>
      </c>
      <c r="B57" s="5" t="s">
        <v>4331</v>
      </c>
      <c r="C57" s="6" t="s">
        <v>1269</v>
      </c>
      <c r="D57" t="s">
        <v>2407</v>
      </c>
      <c r="E57" s="5">
        <v>3</v>
      </c>
      <c r="F57" s="5">
        <v>344.4</v>
      </c>
      <c r="G57" s="6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4299</v>
      </c>
      <c r="M57" t="s">
        <v>4281</v>
      </c>
      <c r="N57" s="7">
        <v>1033.2</v>
      </c>
    </row>
    <row r="58" spans="1:14" x14ac:dyDescent="0.2">
      <c r="A58" t="s">
        <v>70</v>
      </c>
      <c r="B58" s="5" t="s">
        <v>4332</v>
      </c>
      <c r="C58" s="6" t="s">
        <v>1270</v>
      </c>
      <c r="D58" t="s">
        <v>2405</v>
      </c>
      <c r="E58" s="5">
        <v>3</v>
      </c>
      <c r="F58" s="5">
        <v>479.21</v>
      </c>
      <c r="G58" s="6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7">
        <v>1437.63</v>
      </c>
    </row>
    <row r="59" spans="1:14" x14ac:dyDescent="0.2">
      <c r="A59" t="s">
        <v>71</v>
      </c>
      <c r="B59" s="5" t="s">
        <v>4333</v>
      </c>
      <c r="C59" s="6" t="s">
        <v>1271</v>
      </c>
      <c r="D59" t="s">
        <v>2407</v>
      </c>
      <c r="E59" s="5">
        <v>5</v>
      </c>
      <c r="F59" s="5">
        <v>314.27</v>
      </c>
      <c r="G59" s="6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7">
        <v>1571.35</v>
      </c>
    </row>
    <row r="60" spans="1:14" x14ac:dyDescent="0.2">
      <c r="A60" t="s">
        <v>72</v>
      </c>
      <c r="B60" s="5" t="s">
        <v>4334</v>
      </c>
      <c r="C60" s="6" t="s">
        <v>1272</v>
      </c>
      <c r="D60" t="s">
        <v>2404</v>
      </c>
      <c r="E60" s="5">
        <v>4</v>
      </c>
      <c r="F60" s="5">
        <v>474.69</v>
      </c>
      <c r="G60" s="6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7">
        <v>1898.76</v>
      </c>
    </row>
    <row r="61" spans="1:14" x14ac:dyDescent="0.2">
      <c r="A61" t="s">
        <v>73</v>
      </c>
      <c r="B61" s="4">
        <v>45605</v>
      </c>
      <c r="C61" s="6" t="s">
        <v>1273</v>
      </c>
      <c r="D61" t="s">
        <v>2406</v>
      </c>
      <c r="E61" s="5">
        <v>4</v>
      </c>
      <c r="F61" s="5">
        <v>593.27</v>
      </c>
      <c r="G61" s="6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4299</v>
      </c>
      <c r="M61" t="s">
        <v>4281</v>
      </c>
      <c r="N61" s="7">
        <v>2373.08</v>
      </c>
    </row>
    <row r="62" spans="1:14" x14ac:dyDescent="0.2">
      <c r="A62" t="s">
        <v>74</v>
      </c>
      <c r="B62" s="5" t="s">
        <v>4335</v>
      </c>
      <c r="C62" s="6" t="s">
        <v>1274</v>
      </c>
      <c r="D62" t="s">
        <v>2409</v>
      </c>
      <c r="E62" s="5">
        <v>1</v>
      </c>
      <c r="F62" s="5">
        <v>417.1</v>
      </c>
      <c r="G62" s="6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5">
        <v>417.1</v>
      </c>
    </row>
    <row r="63" spans="1:14" x14ac:dyDescent="0.2">
      <c r="A63" t="s">
        <v>75</v>
      </c>
      <c r="B63" s="5" t="s">
        <v>4336</v>
      </c>
      <c r="C63" s="6" t="s">
        <v>1275</v>
      </c>
      <c r="D63" t="s">
        <v>2409</v>
      </c>
      <c r="E63" s="5">
        <v>4</v>
      </c>
      <c r="F63" s="5">
        <v>122.2</v>
      </c>
      <c r="G63" s="6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5">
        <v>488.8</v>
      </c>
    </row>
    <row r="64" spans="1:14" x14ac:dyDescent="0.2">
      <c r="A64" t="s">
        <v>76</v>
      </c>
      <c r="B64" s="5" t="s">
        <v>4337</v>
      </c>
      <c r="C64" s="6" t="s">
        <v>1276</v>
      </c>
      <c r="D64" t="s">
        <v>2409</v>
      </c>
      <c r="E64" s="5">
        <v>2</v>
      </c>
      <c r="F64" s="5">
        <v>43.15</v>
      </c>
      <c r="G64" s="6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5">
        <v>86.3</v>
      </c>
    </row>
    <row r="65" spans="1:14" x14ac:dyDescent="0.2">
      <c r="A65" t="s">
        <v>77</v>
      </c>
      <c r="B65" s="4">
        <v>45690</v>
      </c>
      <c r="C65" s="6" t="s">
        <v>1277</v>
      </c>
      <c r="D65" t="s">
        <v>2406</v>
      </c>
      <c r="E65" s="5">
        <v>1</v>
      </c>
      <c r="F65" s="5">
        <v>564.86</v>
      </c>
      <c r="G65" s="6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5">
        <v>564.86</v>
      </c>
    </row>
    <row r="66" spans="1:14" x14ac:dyDescent="0.2">
      <c r="A66" t="s">
        <v>78</v>
      </c>
      <c r="B66" s="5" t="s">
        <v>4338</v>
      </c>
      <c r="C66" s="6" t="s">
        <v>1278</v>
      </c>
      <c r="D66" t="s">
        <v>2407</v>
      </c>
      <c r="E66" s="5">
        <v>3</v>
      </c>
      <c r="F66" s="5">
        <v>130.61000000000001</v>
      </c>
      <c r="G66" s="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5">
        <v>391.83</v>
      </c>
    </row>
    <row r="67" spans="1:14" x14ac:dyDescent="0.2">
      <c r="A67" t="s">
        <v>79</v>
      </c>
      <c r="B67" s="5" t="s">
        <v>4339</v>
      </c>
      <c r="C67" s="6" t="s">
        <v>1279</v>
      </c>
      <c r="D67" t="s">
        <v>2403</v>
      </c>
      <c r="E67" s="5">
        <v>5</v>
      </c>
      <c r="F67" s="5">
        <v>81.7</v>
      </c>
      <c r="G67" s="6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4299</v>
      </c>
      <c r="M67" t="s">
        <v>4278</v>
      </c>
      <c r="N67" s="5">
        <v>408.5</v>
      </c>
    </row>
    <row r="68" spans="1:14" x14ac:dyDescent="0.2">
      <c r="A68" t="s">
        <v>80</v>
      </c>
      <c r="B68" s="5" t="s">
        <v>4340</v>
      </c>
      <c r="C68" s="6" t="s">
        <v>1280</v>
      </c>
      <c r="D68" t="s">
        <v>2406</v>
      </c>
      <c r="E68" s="5">
        <v>5</v>
      </c>
      <c r="F68" s="5">
        <v>127.18</v>
      </c>
      <c r="G68" s="6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5">
        <v>635.9</v>
      </c>
    </row>
    <row r="69" spans="1:14" x14ac:dyDescent="0.2">
      <c r="A69" t="s">
        <v>81</v>
      </c>
      <c r="B69" s="4">
        <v>45547</v>
      </c>
      <c r="C69" s="6" t="s">
        <v>1281</v>
      </c>
      <c r="D69" t="s">
        <v>2407</v>
      </c>
      <c r="E69" s="5">
        <v>4</v>
      </c>
      <c r="F69" s="5">
        <v>12.1</v>
      </c>
      <c r="G69" s="6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4299</v>
      </c>
      <c r="M69" t="s">
        <v>4282</v>
      </c>
      <c r="N69" s="5">
        <v>48.4</v>
      </c>
    </row>
    <row r="70" spans="1:14" x14ac:dyDescent="0.2">
      <c r="A70" t="s">
        <v>82</v>
      </c>
      <c r="B70" s="4">
        <v>45242</v>
      </c>
      <c r="C70" s="6" t="s">
        <v>1282</v>
      </c>
      <c r="D70" t="s">
        <v>2406</v>
      </c>
      <c r="E70" s="5">
        <v>3</v>
      </c>
      <c r="F70" s="5">
        <v>490.92</v>
      </c>
      <c r="G70" s="6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7">
        <v>1472.76</v>
      </c>
    </row>
    <row r="71" spans="1:14" x14ac:dyDescent="0.2">
      <c r="A71" t="s">
        <v>83</v>
      </c>
      <c r="B71" s="4">
        <v>45235</v>
      </c>
      <c r="C71" s="6" t="s">
        <v>1283</v>
      </c>
      <c r="D71" t="s">
        <v>2403</v>
      </c>
      <c r="E71" s="5">
        <v>3</v>
      </c>
      <c r="F71" s="5">
        <v>478.65</v>
      </c>
      <c r="G71" s="6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4299</v>
      </c>
      <c r="M71" t="s">
        <v>4279</v>
      </c>
      <c r="N71" s="7">
        <v>1435.95</v>
      </c>
    </row>
    <row r="72" spans="1:14" x14ac:dyDescent="0.2">
      <c r="A72" t="s">
        <v>84</v>
      </c>
      <c r="B72" s="5" t="s">
        <v>4341</v>
      </c>
      <c r="C72" s="6" t="s">
        <v>1284</v>
      </c>
      <c r="D72" t="s">
        <v>2409</v>
      </c>
      <c r="E72" s="5">
        <v>1</v>
      </c>
      <c r="F72" s="5">
        <v>629.21</v>
      </c>
      <c r="G72" s="6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5">
        <v>629.21</v>
      </c>
    </row>
    <row r="73" spans="1:14" x14ac:dyDescent="0.2">
      <c r="A73" t="s">
        <v>85</v>
      </c>
      <c r="B73" s="4">
        <v>45936</v>
      </c>
      <c r="C73" s="6" t="s">
        <v>1285</v>
      </c>
      <c r="D73" t="s">
        <v>2403</v>
      </c>
      <c r="E73" s="5">
        <v>3</v>
      </c>
      <c r="F73" s="5">
        <v>434.45</v>
      </c>
      <c r="G73" s="6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4299</v>
      </c>
      <c r="M73" t="s">
        <v>4279</v>
      </c>
      <c r="N73" s="7">
        <v>1303.3499999999999</v>
      </c>
    </row>
    <row r="74" spans="1:14" x14ac:dyDescent="0.2">
      <c r="A74" t="s">
        <v>86</v>
      </c>
      <c r="B74" s="5" t="s">
        <v>4342</v>
      </c>
      <c r="C74" s="6" t="s">
        <v>1286</v>
      </c>
      <c r="D74" t="s">
        <v>2405</v>
      </c>
      <c r="E74" s="5">
        <v>4</v>
      </c>
      <c r="F74" s="5">
        <v>589.44000000000005</v>
      </c>
      <c r="G74" s="6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4299</v>
      </c>
      <c r="M74" t="s">
        <v>4281</v>
      </c>
      <c r="N74" s="7">
        <v>2357.7600000000002</v>
      </c>
    </row>
    <row r="75" spans="1:14" x14ac:dyDescent="0.2">
      <c r="A75" t="s">
        <v>87</v>
      </c>
      <c r="B75" s="4">
        <v>44990</v>
      </c>
      <c r="C75" s="6" t="s">
        <v>1287</v>
      </c>
      <c r="D75" t="s">
        <v>2403</v>
      </c>
      <c r="E75" s="5">
        <v>4</v>
      </c>
      <c r="F75" s="5">
        <v>433.45</v>
      </c>
      <c r="G75" s="6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4299</v>
      </c>
      <c r="M75" t="s">
        <v>4281</v>
      </c>
      <c r="N75" s="7">
        <v>1733.8</v>
      </c>
    </row>
    <row r="76" spans="1:14" x14ac:dyDescent="0.2">
      <c r="A76" t="s">
        <v>88</v>
      </c>
      <c r="B76" s="5" t="s">
        <v>4343</v>
      </c>
      <c r="C76" s="6" t="s">
        <v>1288</v>
      </c>
      <c r="D76" t="s">
        <v>2404</v>
      </c>
      <c r="E76" s="5">
        <v>5</v>
      </c>
      <c r="F76" s="5">
        <v>90.87</v>
      </c>
      <c r="G76" s="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4299</v>
      </c>
      <c r="M76" t="s">
        <v>4278</v>
      </c>
      <c r="N76" s="5">
        <v>454.35</v>
      </c>
    </row>
    <row r="77" spans="1:14" x14ac:dyDescent="0.2">
      <c r="A77" t="s">
        <v>89</v>
      </c>
      <c r="B77" s="5" t="s">
        <v>4344</v>
      </c>
      <c r="C77" s="6" t="s">
        <v>1289</v>
      </c>
      <c r="D77" t="s">
        <v>2405</v>
      </c>
      <c r="E77" s="5">
        <v>3</v>
      </c>
      <c r="F77" s="5">
        <v>398.17</v>
      </c>
      <c r="G77" s="6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7">
        <v>1194.51</v>
      </c>
    </row>
    <row r="78" spans="1:14" x14ac:dyDescent="0.2">
      <c r="A78" t="s">
        <v>90</v>
      </c>
      <c r="B78" s="5" t="s">
        <v>4345</v>
      </c>
      <c r="C78" s="6" t="s">
        <v>1290</v>
      </c>
      <c r="D78" t="s">
        <v>2408</v>
      </c>
      <c r="E78" s="5">
        <v>4</v>
      </c>
      <c r="F78" s="5">
        <v>382.88</v>
      </c>
      <c r="G78" s="6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7">
        <v>1531.52</v>
      </c>
    </row>
    <row r="79" spans="1:14" x14ac:dyDescent="0.2">
      <c r="A79" t="s">
        <v>91</v>
      </c>
      <c r="B79" s="5" t="s">
        <v>4346</v>
      </c>
      <c r="C79" s="6" t="s">
        <v>1291</v>
      </c>
      <c r="D79" t="s">
        <v>2404</v>
      </c>
      <c r="E79" s="5">
        <v>1</v>
      </c>
      <c r="F79" s="5">
        <v>583.17999999999995</v>
      </c>
      <c r="G79" s="6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4299</v>
      </c>
      <c r="M79" t="s">
        <v>4282</v>
      </c>
      <c r="N79" s="5">
        <v>583.17999999999995</v>
      </c>
    </row>
    <row r="80" spans="1:14" x14ac:dyDescent="0.2">
      <c r="A80" t="s">
        <v>92</v>
      </c>
      <c r="B80" s="4">
        <v>45451</v>
      </c>
      <c r="C80" s="6" t="s">
        <v>1292</v>
      </c>
      <c r="D80" t="s">
        <v>2407</v>
      </c>
      <c r="E80" s="5">
        <v>4</v>
      </c>
      <c r="F80" s="5">
        <v>175.36</v>
      </c>
      <c r="G80" s="6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5">
        <v>701.44</v>
      </c>
    </row>
    <row r="81" spans="1:14" x14ac:dyDescent="0.2">
      <c r="A81" t="s">
        <v>93</v>
      </c>
      <c r="B81" s="4">
        <v>45933</v>
      </c>
      <c r="C81" s="6" t="s">
        <v>1293</v>
      </c>
      <c r="D81" t="s">
        <v>2405</v>
      </c>
      <c r="E81" s="5">
        <v>2</v>
      </c>
      <c r="F81" s="5">
        <v>311.91000000000003</v>
      </c>
      <c r="G81" s="6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4299</v>
      </c>
      <c r="M81" t="s">
        <v>4281</v>
      </c>
      <c r="N81" s="5">
        <v>623.82000000000005</v>
      </c>
    </row>
    <row r="82" spans="1:14" x14ac:dyDescent="0.2">
      <c r="A82" t="s">
        <v>94</v>
      </c>
      <c r="B82" s="5" t="s">
        <v>4347</v>
      </c>
      <c r="C82" s="6" t="s">
        <v>1294</v>
      </c>
      <c r="D82" t="s">
        <v>2404</v>
      </c>
      <c r="E82" s="5">
        <v>3</v>
      </c>
      <c r="F82" s="5">
        <v>589.55999999999995</v>
      </c>
      <c r="G82" s="6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4299</v>
      </c>
      <c r="M82" t="s">
        <v>4281</v>
      </c>
      <c r="N82" s="7">
        <v>1768.68</v>
      </c>
    </row>
    <row r="83" spans="1:14" x14ac:dyDescent="0.2">
      <c r="A83" t="s">
        <v>95</v>
      </c>
      <c r="B83" s="4">
        <v>45144</v>
      </c>
      <c r="C83" s="6" t="s">
        <v>1295</v>
      </c>
      <c r="D83" t="s">
        <v>2403</v>
      </c>
      <c r="E83" s="5">
        <v>2</v>
      </c>
      <c r="F83" s="5">
        <v>394.3</v>
      </c>
      <c r="G83" s="6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5">
        <v>788.6</v>
      </c>
    </row>
    <row r="84" spans="1:14" x14ac:dyDescent="0.2">
      <c r="A84" t="s">
        <v>96</v>
      </c>
      <c r="B84" s="4">
        <v>45413</v>
      </c>
      <c r="C84" s="6" t="s">
        <v>1296</v>
      </c>
      <c r="D84" t="s">
        <v>2405</v>
      </c>
      <c r="E84" s="5">
        <v>4</v>
      </c>
      <c r="F84" s="5">
        <v>565.20000000000005</v>
      </c>
      <c r="G84" s="6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7">
        <v>2260.8000000000002</v>
      </c>
    </row>
    <row r="85" spans="1:14" x14ac:dyDescent="0.2">
      <c r="A85" t="s">
        <v>97</v>
      </c>
      <c r="B85" s="5" t="s">
        <v>4337</v>
      </c>
      <c r="C85" s="6" t="s">
        <v>1297</v>
      </c>
      <c r="D85" t="s">
        <v>2408</v>
      </c>
      <c r="E85" s="5">
        <v>4</v>
      </c>
      <c r="F85" s="5">
        <v>540.41</v>
      </c>
      <c r="G85" s="6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4299</v>
      </c>
      <c r="M85" t="s">
        <v>4279</v>
      </c>
      <c r="N85" s="7">
        <v>2161.64</v>
      </c>
    </row>
    <row r="86" spans="1:14" x14ac:dyDescent="0.2">
      <c r="A86" t="s">
        <v>98</v>
      </c>
      <c r="B86" s="5" t="s">
        <v>4348</v>
      </c>
      <c r="C86" s="6" t="s">
        <v>1298</v>
      </c>
      <c r="D86" t="s">
        <v>2403</v>
      </c>
      <c r="E86" s="5">
        <v>2</v>
      </c>
      <c r="F86" s="5">
        <v>165.49</v>
      </c>
      <c r="G86" s="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5">
        <v>330.98</v>
      </c>
    </row>
    <row r="87" spans="1:14" x14ac:dyDescent="0.2">
      <c r="A87" t="s">
        <v>99</v>
      </c>
      <c r="B87" s="4">
        <v>45544</v>
      </c>
      <c r="C87" s="6" t="s">
        <v>1299</v>
      </c>
      <c r="D87" t="s">
        <v>2405</v>
      </c>
      <c r="E87" s="5">
        <v>3</v>
      </c>
      <c r="F87" s="5">
        <v>146.72999999999999</v>
      </c>
      <c r="G87" s="6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5">
        <v>440.19</v>
      </c>
    </row>
    <row r="88" spans="1:14" x14ac:dyDescent="0.2">
      <c r="A88" t="s">
        <v>100</v>
      </c>
      <c r="B88" s="5" t="s">
        <v>4349</v>
      </c>
      <c r="C88" s="6" t="s">
        <v>1300</v>
      </c>
      <c r="D88" t="s">
        <v>2407</v>
      </c>
      <c r="E88" s="5">
        <v>5</v>
      </c>
      <c r="F88" s="5">
        <v>643.03</v>
      </c>
      <c r="G88" s="6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7">
        <v>3215.15</v>
      </c>
    </row>
    <row r="89" spans="1:14" x14ac:dyDescent="0.2">
      <c r="A89" t="s">
        <v>101</v>
      </c>
      <c r="B89" s="4">
        <v>45575</v>
      </c>
      <c r="C89" s="6" t="s">
        <v>1301</v>
      </c>
      <c r="D89" t="s">
        <v>2405</v>
      </c>
      <c r="E89" s="5">
        <v>3</v>
      </c>
      <c r="F89" s="5">
        <v>225.11</v>
      </c>
      <c r="G89" s="6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5">
        <v>675.33</v>
      </c>
    </row>
    <row r="90" spans="1:14" x14ac:dyDescent="0.2">
      <c r="A90" t="s">
        <v>102</v>
      </c>
      <c r="B90" s="4">
        <v>45783</v>
      </c>
      <c r="C90" s="6" t="s">
        <v>1302</v>
      </c>
      <c r="D90" t="s">
        <v>2409</v>
      </c>
      <c r="E90" s="5">
        <v>3</v>
      </c>
      <c r="F90" s="5">
        <v>114.81</v>
      </c>
      <c r="G90" s="6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4299</v>
      </c>
      <c r="M90" t="s">
        <v>4282</v>
      </c>
      <c r="N90" s="5">
        <v>344.43</v>
      </c>
    </row>
    <row r="91" spans="1:14" x14ac:dyDescent="0.2">
      <c r="A91" t="s">
        <v>103</v>
      </c>
      <c r="B91" s="5" t="s">
        <v>4350</v>
      </c>
      <c r="C91" s="6" t="s">
        <v>1303</v>
      </c>
      <c r="D91" t="s">
        <v>2407</v>
      </c>
      <c r="E91" s="5">
        <v>5</v>
      </c>
      <c r="F91" s="5">
        <v>455.33</v>
      </c>
      <c r="G91" s="6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7">
        <v>2276.65</v>
      </c>
    </row>
    <row r="92" spans="1:14" x14ac:dyDescent="0.2">
      <c r="A92" t="s">
        <v>104</v>
      </c>
      <c r="B92" s="5" t="s">
        <v>4351</v>
      </c>
      <c r="C92" s="6" t="s">
        <v>1304</v>
      </c>
      <c r="D92" t="s">
        <v>2406</v>
      </c>
      <c r="E92" s="5">
        <v>4</v>
      </c>
      <c r="F92" s="5">
        <v>182.08</v>
      </c>
      <c r="G92" s="6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5">
        <v>728.32</v>
      </c>
    </row>
    <row r="93" spans="1:14" x14ac:dyDescent="0.2">
      <c r="A93" t="s">
        <v>105</v>
      </c>
      <c r="B93" s="5" t="s">
        <v>4352</v>
      </c>
      <c r="C93" s="6" t="s">
        <v>1305</v>
      </c>
      <c r="D93" t="s">
        <v>2408</v>
      </c>
      <c r="E93" s="5">
        <v>5</v>
      </c>
      <c r="F93" s="5">
        <v>492.75</v>
      </c>
      <c r="G93" s="6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7">
        <v>2463.75</v>
      </c>
    </row>
    <row r="94" spans="1:14" x14ac:dyDescent="0.2">
      <c r="A94" t="s">
        <v>106</v>
      </c>
      <c r="B94" s="4">
        <v>45571</v>
      </c>
      <c r="C94" s="6" t="s">
        <v>1306</v>
      </c>
      <c r="D94" t="s">
        <v>2407</v>
      </c>
      <c r="E94" s="5">
        <v>4</v>
      </c>
      <c r="F94" s="5">
        <v>48.61</v>
      </c>
      <c r="G94" s="6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5">
        <v>194.44</v>
      </c>
    </row>
    <row r="95" spans="1:14" x14ac:dyDescent="0.2">
      <c r="A95" t="s">
        <v>107</v>
      </c>
      <c r="B95" s="5" t="s">
        <v>4353</v>
      </c>
      <c r="C95" s="6" t="s">
        <v>1307</v>
      </c>
      <c r="D95" t="s">
        <v>2409</v>
      </c>
      <c r="E95" s="5">
        <v>4</v>
      </c>
      <c r="F95" s="5">
        <v>431.01</v>
      </c>
      <c r="G95" s="6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4299</v>
      </c>
      <c r="M95" t="s">
        <v>4279</v>
      </c>
      <c r="N95" s="7">
        <v>1724.04</v>
      </c>
    </row>
    <row r="96" spans="1:14" x14ac:dyDescent="0.2">
      <c r="A96" t="s">
        <v>108</v>
      </c>
      <c r="B96" s="4">
        <v>45232</v>
      </c>
      <c r="C96" s="6" t="s">
        <v>1308</v>
      </c>
      <c r="D96" t="s">
        <v>2406</v>
      </c>
      <c r="E96" s="5">
        <v>1</v>
      </c>
      <c r="F96" s="5">
        <v>531.17999999999995</v>
      </c>
      <c r="G96" s="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5">
        <v>531.17999999999995</v>
      </c>
    </row>
    <row r="97" spans="1:14" x14ac:dyDescent="0.2">
      <c r="A97" t="s">
        <v>109</v>
      </c>
      <c r="B97" s="5" t="s">
        <v>4354</v>
      </c>
      <c r="C97" s="6" t="s">
        <v>1309</v>
      </c>
      <c r="D97" t="s">
        <v>2407</v>
      </c>
      <c r="E97" s="5">
        <v>4</v>
      </c>
      <c r="F97" s="5">
        <v>117.51</v>
      </c>
      <c r="G97" s="6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4299</v>
      </c>
      <c r="M97" t="s">
        <v>4279</v>
      </c>
      <c r="N97" s="5">
        <v>470.04</v>
      </c>
    </row>
    <row r="98" spans="1:14" x14ac:dyDescent="0.2">
      <c r="A98" t="s">
        <v>110</v>
      </c>
      <c r="B98" s="4">
        <v>45297</v>
      </c>
      <c r="C98" s="6" t="s">
        <v>1310</v>
      </c>
      <c r="D98" t="s">
        <v>2404</v>
      </c>
      <c r="E98" s="5">
        <v>2</v>
      </c>
      <c r="F98" s="5">
        <v>232.83</v>
      </c>
      <c r="G98" s="6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4299</v>
      </c>
      <c r="M98" t="s">
        <v>4278</v>
      </c>
      <c r="N98" s="5">
        <v>465.66</v>
      </c>
    </row>
    <row r="99" spans="1:14" x14ac:dyDescent="0.2">
      <c r="A99" t="s">
        <v>111</v>
      </c>
      <c r="B99" s="5" t="s">
        <v>4355</v>
      </c>
      <c r="C99" s="6" t="s">
        <v>1311</v>
      </c>
      <c r="D99" t="s">
        <v>2405</v>
      </c>
      <c r="E99" s="5">
        <v>5</v>
      </c>
      <c r="F99" s="5">
        <v>619.52</v>
      </c>
      <c r="G99" s="6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4299</v>
      </c>
      <c r="M99" t="s">
        <v>4280</v>
      </c>
      <c r="N99" s="7">
        <v>3097.6</v>
      </c>
    </row>
    <row r="100" spans="1:14" x14ac:dyDescent="0.2">
      <c r="A100" t="s">
        <v>112</v>
      </c>
      <c r="B100" s="5" t="s">
        <v>4353</v>
      </c>
      <c r="C100" s="6" t="s">
        <v>1312</v>
      </c>
      <c r="D100" t="s">
        <v>2407</v>
      </c>
      <c r="E100" s="5">
        <v>2</v>
      </c>
      <c r="F100" s="5">
        <v>228.54</v>
      </c>
      <c r="G100" s="6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4299</v>
      </c>
      <c r="M100" t="s">
        <v>4280</v>
      </c>
      <c r="N100" s="5">
        <v>457.08</v>
      </c>
    </row>
    <row r="101" spans="1:14" x14ac:dyDescent="0.2">
      <c r="A101" t="s">
        <v>113</v>
      </c>
      <c r="B101" s="4">
        <v>45995</v>
      </c>
      <c r="C101" s="6" t="s">
        <v>1313</v>
      </c>
      <c r="D101" t="s">
        <v>2407</v>
      </c>
      <c r="E101" s="5">
        <v>1</v>
      </c>
      <c r="F101" s="5">
        <v>201.58</v>
      </c>
      <c r="G101" s="6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5">
        <v>201.58</v>
      </c>
    </row>
    <row r="102" spans="1:14" x14ac:dyDescent="0.2">
      <c r="A102" t="s">
        <v>114</v>
      </c>
      <c r="B102" s="5" t="s">
        <v>4356</v>
      </c>
      <c r="C102" s="6" t="s">
        <v>1314</v>
      </c>
      <c r="D102" t="s">
        <v>2404</v>
      </c>
      <c r="E102" s="5">
        <v>3</v>
      </c>
      <c r="F102" s="5">
        <v>664.79</v>
      </c>
      <c r="G102" s="6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4299</v>
      </c>
      <c r="M102" t="s">
        <v>4281</v>
      </c>
      <c r="N102" s="7">
        <v>1994.37</v>
      </c>
    </row>
    <row r="103" spans="1:14" x14ac:dyDescent="0.2">
      <c r="A103" t="s">
        <v>115</v>
      </c>
      <c r="B103" s="5" t="s">
        <v>4357</v>
      </c>
      <c r="C103" s="6" t="s">
        <v>1315</v>
      </c>
      <c r="D103" t="s">
        <v>2407</v>
      </c>
      <c r="E103" s="5">
        <v>1</v>
      </c>
      <c r="F103" s="5">
        <v>381.02</v>
      </c>
      <c r="G103" s="6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4299</v>
      </c>
      <c r="M103" t="s">
        <v>4282</v>
      </c>
      <c r="N103" s="5">
        <v>381.02</v>
      </c>
    </row>
    <row r="104" spans="1:14" x14ac:dyDescent="0.2">
      <c r="A104" t="s">
        <v>116</v>
      </c>
      <c r="B104" s="4">
        <v>45141</v>
      </c>
      <c r="C104" s="6" t="s">
        <v>1316</v>
      </c>
      <c r="D104" t="s">
        <v>2408</v>
      </c>
      <c r="E104" s="5">
        <v>2</v>
      </c>
      <c r="F104" s="5">
        <v>70.34</v>
      </c>
      <c r="G104" s="6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5">
        <v>140.68</v>
      </c>
    </row>
    <row r="105" spans="1:14" x14ac:dyDescent="0.2">
      <c r="A105" t="s">
        <v>117</v>
      </c>
      <c r="B105" s="5" t="s">
        <v>4358</v>
      </c>
      <c r="C105" s="6" t="s">
        <v>1317</v>
      </c>
      <c r="D105" t="s">
        <v>2404</v>
      </c>
      <c r="E105" s="5">
        <v>4</v>
      </c>
      <c r="F105" s="5">
        <v>218.43</v>
      </c>
      <c r="G105" s="6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5">
        <v>873.72</v>
      </c>
    </row>
    <row r="106" spans="1:14" x14ac:dyDescent="0.2">
      <c r="A106" t="s">
        <v>118</v>
      </c>
      <c r="B106" s="5" t="s">
        <v>4359</v>
      </c>
      <c r="C106" s="6" t="s">
        <v>1318</v>
      </c>
      <c r="D106" t="s">
        <v>2404</v>
      </c>
      <c r="E106" s="5">
        <v>1</v>
      </c>
      <c r="F106" s="5">
        <v>582.04</v>
      </c>
      <c r="G106" s="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5">
        <v>582.04</v>
      </c>
    </row>
    <row r="107" spans="1:14" x14ac:dyDescent="0.2">
      <c r="A107" t="s">
        <v>119</v>
      </c>
      <c r="B107" s="5" t="s">
        <v>4360</v>
      </c>
      <c r="C107" s="6" t="s">
        <v>1319</v>
      </c>
      <c r="D107" t="s">
        <v>2407</v>
      </c>
      <c r="E107" s="5">
        <v>3</v>
      </c>
      <c r="F107" s="5">
        <v>185.4</v>
      </c>
      <c r="G107" s="6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4299</v>
      </c>
      <c r="M107" t="s">
        <v>4281</v>
      </c>
      <c r="N107" s="5">
        <v>556.20000000000005</v>
      </c>
    </row>
    <row r="108" spans="1:14" x14ac:dyDescent="0.2">
      <c r="A108" t="s">
        <v>120</v>
      </c>
      <c r="B108" s="4">
        <v>45147</v>
      </c>
      <c r="C108" s="6" t="s">
        <v>1320</v>
      </c>
      <c r="D108" t="s">
        <v>2409</v>
      </c>
      <c r="E108" s="5">
        <v>3</v>
      </c>
      <c r="F108" s="5">
        <v>465.05</v>
      </c>
      <c r="G108" s="6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7">
        <v>1395.15</v>
      </c>
    </row>
    <row r="109" spans="1:14" x14ac:dyDescent="0.2">
      <c r="A109" t="s">
        <v>121</v>
      </c>
      <c r="B109" s="5" t="s">
        <v>4305</v>
      </c>
      <c r="C109" s="6" t="s">
        <v>1321</v>
      </c>
      <c r="D109" t="s">
        <v>2407</v>
      </c>
      <c r="E109" s="5">
        <v>5</v>
      </c>
      <c r="F109" s="5">
        <v>670.75</v>
      </c>
      <c r="G109" s="6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7">
        <v>3353.75</v>
      </c>
    </row>
    <row r="110" spans="1:14" x14ac:dyDescent="0.2">
      <c r="A110" t="s">
        <v>122</v>
      </c>
      <c r="B110" s="5" t="s">
        <v>4361</v>
      </c>
      <c r="C110" s="6" t="s">
        <v>1322</v>
      </c>
      <c r="D110" t="s">
        <v>2408</v>
      </c>
      <c r="E110" s="5">
        <v>5</v>
      </c>
      <c r="F110" s="5">
        <v>48.38</v>
      </c>
      <c r="G110" s="6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5">
        <v>241.9</v>
      </c>
    </row>
    <row r="111" spans="1:14" x14ac:dyDescent="0.2">
      <c r="A111" t="s">
        <v>123</v>
      </c>
      <c r="B111" s="5" t="s">
        <v>4362</v>
      </c>
      <c r="C111" s="6" t="s">
        <v>1323</v>
      </c>
      <c r="D111" t="s">
        <v>2409</v>
      </c>
      <c r="E111" s="5">
        <v>3</v>
      </c>
      <c r="F111" s="5">
        <v>592.87</v>
      </c>
      <c r="G111" s="6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7">
        <v>1778.61</v>
      </c>
    </row>
    <row r="112" spans="1:14" x14ac:dyDescent="0.2">
      <c r="A112" t="s">
        <v>124</v>
      </c>
      <c r="B112" s="5" t="s">
        <v>4363</v>
      </c>
      <c r="C112" s="6" t="s">
        <v>1324</v>
      </c>
      <c r="D112" t="s">
        <v>2405</v>
      </c>
      <c r="E112" s="5">
        <v>1</v>
      </c>
      <c r="F112" s="5">
        <v>220.77</v>
      </c>
      <c r="G112" s="6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5">
        <v>220.77</v>
      </c>
    </row>
    <row r="113" spans="1:14" x14ac:dyDescent="0.2">
      <c r="A113" t="s">
        <v>125</v>
      </c>
      <c r="B113" s="4">
        <v>45843</v>
      </c>
      <c r="C113" s="6" t="s">
        <v>1325</v>
      </c>
      <c r="D113" t="s">
        <v>2409</v>
      </c>
      <c r="E113" s="5">
        <v>3</v>
      </c>
      <c r="F113" s="5">
        <v>309.22000000000003</v>
      </c>
      <c r="G113" s="6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5">
        <v>927.66</v>
      </c>
    </row>
    <row r="114" spans="1:14" x14ac:dyDescent="0.2">
      <c r="A114" t="s">
        <v>126</v>
      </c>
      <c r="B114" s="4">
        <v>44927</v>
      </c>
      <c r="C114" s="6" t="s">
        <v>1326</v>
      </c>
      <c r="D114" t="s">
        <v>2403</v>
      </c>
      <c r="E114" s="5">
        <v>1</v>
      </c>
      <c r="F114" s="5">
        <v>410.6</v>
      </c>
      <c r="G114" s="6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5">
        <v>410.6</v>
      </c>
    </row>
    <row r="115" spans="1:14" x14ac:dyDescent="0.2">
      <c r="A115" t="s">
        <v>127</v>
      </c>
      <c r="B115" s="5" t="s">
        <v>4364</v>
      </c>
      <c r="C115" s="6" t="s">
        <v>1327</v>
      </c>
      <c r="D115" t="s">
        <v>2408</v>
      </c>
      <c r="E115" s="5">
        <v>5</v>
      </c>
      <c r="F115" s="5">
        <v>190.08</v>
      </c>
      <c r="G115" s="6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5">
        <v>950.4</v>
      </c>
    </row>
    <row r="116" spans="1:14" x14ac:dyDescent="0.2">
      <c r="A116" t="s">
        <v>128</v>
      </c>
      <c r="B116" s="5" t="s">
        <v>4365</v>
      </c>
      <c r="C116" s="6" t="s">
        <v>1328</v>
      </c>
      <c r="D116" t="s">
        <v>2403</v>
      </c>
      <c r="E116" s="5">
        <v>5</v>
      </c>
      <c r="F116" s="5">
        <v>498.48</v>
      </c>
      <c r="G116" s="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7">
        <v>2492.4</v>
      </c>
    </row>
    <row r="117" spans="1:14" x14ac:dyDescent="0.2">
      <c r="A117" t="s">
        <v>129</v>
      </c>
      <c r="B117" s="5" t="s">
        <v>4366</v>
      </c>
      <c r="C117" s="6" t="s">
        <v>1329</v>
      </c>
      <c r="D117" t="s">
        <v>2404</v>
      </c>
      <c r="E117" s="5">
        <v>5</v>
      </c>
      <c r="F117" s="5">
        <v>374.99</v>
      </c>
      <c r="G117" s="6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7">
        <v>1874.95</v>
      </c>
    </row>
    <row r="118" spans="1:14" x14ac:dyDescent="0.2">
      <c r="A118" t="s">
        <v>130</v>
      </c>
      <c r="B118" s="5" t="s">
        <v>4367</v>
      </c>
      <c r="C118" s="6" t="s">
        <v>1330</v>
      </c>
      <c r="D118" t="s">
        <v>2407</v>
      </c>
      <c r="E118" s="5">
        <v>4</v>
      </c>
      <c r="F118" s="5">
        <v>291.35000000000002</v>
      </c>
      <c r="G118" s="6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7">
        <v>1165.4000000000001</v>
      </c>
    </row>
    <row r="119" spans="1:14" x14ac:dyDescent="0.2">
      <c r="A119" t="s">
        <v>131</v>
      </c>
      <c r="B119" s="4">
        <v>45141</v>
      </c>
      <c r="C119" s="6" t="s">
        <v>1331</v>
      </c>
      <c r="D119" t="s">
        <v>2405</v>
      </c>
      <c r="E119" s="5">
        <v>1</v>
      </c>
      <c r="F119" s="5">
        <v>535.5</v>
      </c>
      <c r="G119" s="6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5">
        <v>535.5</v>
      </c>
    </row>
    <row r="120" spans="1:14" x14ac:dyDescent="0.2">
      <c r="A120" t="s">
        <v>132</v>
      </c>
      <c r="B120" s="4">
        <v>45179</v>
      </c>
      <c r="C120" s="6" t="s">
        <v>1332</v>
      </c>
      <c r="D120" t="s">
        <v>2407</v>
      </c>
      <c r="E120" s="5">
        <v>5</v>
      </c>
      <c r="F120" s="5">
        <v>502.71</v>
      </c>
      <c r="G120" s="6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7">
        <v>2513.5500000000002</v>
      </c>
    </row>
    <row r="121" spans="1:14" x14ac:dyDescent="0.2">
      <c r="A121" t="s">
        <v>133</v>
      </c>
      <c r="B121" s="4">
        <v>45967</v>
      </c>
      <c r="C121" s="6" t="s">
        <v>1333</v>
      </c>
      <c r="D121" t="s">
        <v>2409</v>
      </c>
      <c r="E121" s="5">
        <v>2</v>
      </c>
      <c r="F121" s="5">
        <v>534.66999999999996</v>
      </c>
      <c r="G121" s="6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7">
        <v>1069.3399999999999</v>
      </c>
    </row>
    <row r="122" spans="1:14" x14ac:dyDescent="0.2">
      <c r="A122" t="s">
        <v>134</v>
      </c>
      <c r="B122" s="4">
        <v>45234</v>
      </c>
      <c r="C122" s="6" t="s">
        <v>1334</v>
      </c>
      <c r="D122" t="s">
        <v>2405</v>
      </c>
      <c r="E122" s="5">
        <v>4</v>
      </c>
      <c r="F122" s="5">
        <v>629.34</v>
      </c>
      <c r="G122" s="6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7">
        <v>2517.36</v>
      </c>
    </row>
    <row r="123" spans="1:14" x14ac:dyDescent="0.2">
      <c r="A123" t="s">
        <v>135</v>
      </c>
      <c r="B123" s="5" t="s">
        <v>4368</v>
      </c>
      <c r="C123" s="6" t="s">
        <v>1335</v>
      </c>
      <c r="D123" t="s">
        <v>2409</v>
      </c>
      <c r="E123" s="5">
        <v>1</v>
      </c>
      <c r="F123" s="5">
        <v>410.78</v>
      </c>
      <c r="G123" s="6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5">
        <v>410.78</v>
      </c>
    </row>
    <row r="124" spans="1:14" x14ac:dyDescent="0.2">
      <c r="A124" t="s">
        <v>136</v>
      </c>
      <c r="B124" s="5" t="s">
        <v>4369</v>
      </c>
      <c r="C124" s="6" t="s">
        <v>1336</v>
      </c>
      <c r="D124" t="s">
        <v>2408</v>
      </c>
      <c r="E124" s="5">
        <v>2</v>
      </c>
      <c r="F124" s="5">
        <v>533.02</v>
      </c>
      <c r="G124" s="6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4299</v>
      </c>
      <c r="M124" t="s">
        <v>4281</v>
      </c>
      <c r="N124" s="7">
        <v>1066.04</v>
      </c>
    </row>
    <row r="125" spans="1:14" x14ac:dyDescent="0.2">
      <c r="A125" t="s">
        <v>137</v>
      </c>
      <c r="B125" s="4">
        <v>45084</v>
      </c>
      <c r="C125" s="6" t="s">
        <v>1337</v>
      </c>
      <c r="D125" t="s">
        <v>2409</v>
      </c>
      <c r="E125" s="5">
        <v>3</v>
      </c>
      <c r="F125" s="5">
        <v>278.04000000000002</v>
      </c>
      <c r="G125" s="6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4299</v>
      </c>
      <c r="M125" t="s">
        <v>4278</v>
      </c>
      <c r="N125" s="5">
        <v>834.12</v>
      </c>
    </row>
    <row r="126" spans="1:14" x14ac:dyDescent="0.2">
      <c r="A126" t="s">
        <v>138</v>
      </c>
      <c r="B126" s="5" t="s">
        <v>4370</v>
      </c>
      <c r="C126" s="6" t="s">
        <v>1338</v>
      </c>
      <c r="D126" t="s">
        <v>2407</v>
      </c>
      <c r="E126" s="5">
        <v>4</v>
      </c>
      <c r="F126" s="5">
        <v>283.79000000000002</v>
      </c>
      <c r="G126" s="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4299</v>
      </c>
      <c r="M126" t="s">
        <v>4282</v>
      </c>
      <c r="N126" s="7">
        <v>1135.1600000000001</v>
      </c>
    </row>
    <row r="127" spans="1:14" x14ac:dyDescent="0.2">
      <c r="A127" t="s">
        <v>139</v>
      </c>
      <c r="B127" s="4">
        <v>45454</v>
      </c>
      <c r="C127" s="6" t="s">
        <v>1339</v>
      </c>
      <c r="D127" t="s">
        <v>2404</v>
      </c>
      <c r="E127" s="5">
        <v>2</v>
      </c>
      <c r="F127" s="5">
        <v>512.65</v>
      </c>
      <c r="G127" s="6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7">
        <v>1025.3</v>
      </c>
    </row>
    <row r="128" spans="1:14" x14ac:dyDescent="0.2">
      <c r="A128" t="s">
        <v>140</v>
      </c>
      <c r="B128" s="4">
        <v>45721</v>
      </c>
      <c r="C128" s="6" t="s">
        <v>1340</v>
      </c>
      <c r="D128" t="s">
        <v>2409</v>
      </c>
      <c r="E128" s="5">
        <v>4</v>
      </c>
      <c r="F128" s="5">
        <v>275.5</v>
      </c>
      <c r="G128" s="6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7">
        <v>1102</v>
      </c>
    </row>
    <row r="129" spans="1:14" x14ac:dyDescent="0.2">
      <c r="A129" t="s">
        <v>141</v>
      </c>
      <c r="B129" s="4">
        <v>45207</v>
      </c>
      <c r="C129" s="6" t="s">
        <v>1341</v>
      </c>
      <c r="D129" t="s">
        <v>2409</v>
      </c>
      <c r="E129" s="5">
        <v>3</v>
      </c>
      <c r="F129" s="5">
        <v>469.32</v>
      </c>
      <c r="G129" s="6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4299</v>
      </c>
      <c r="M129" t="s">
        <v>4282</v>
      </c>
      <c r="N129" s="7">
        <v>1407.96</v>
      </c>
    </row>
    <row r="130" spans="1:14" x14ac:dyDescent="0.2">
      <c r="A130" t="s">
        <v>142</v>
      </c>
      <c r="B130" s="5" t="s">
        <v>4356</v>
      </c>
      <c r="C130" s="6" t="s">
        <v>1342</v>
      </c>
      <c r="D130" t="s">
        <v>2405</v>
      </c>
      <c r="E130" s="5">
        <v>4</v>
      </c>
      <c r="F130" s="5">
        <v>21.07</v>
      </c>
      <c r="G130" s="6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5">
        <v>84.28</v>
      </c>
    </row>
    <row r="131" spans="1:14" x14ac:dyDescent="0.2">
      <c r="A131" t="s">
        <v>143</v>
      </c>
      <c r="B131" s="5" t="s">
        <v>4371</v>
      </c>
      <c r="C131" s="6" t="s">
        <v>1343</v>
      </c>
      <c r="D131" t="s">
        <v>2408</v>
      </c>
      <c r="E131" s="5">
        <v>4</v>
      </c>
      <c r="F131" s="5">
        <v>263.93</v>
      </c>
      <c r="G131" s="6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7">
        <v>1055.72</v>
      </c>
    </row>
    <row r="132" spans="1:14" x14ac:dyDescent="0.2">
      <c r="A132" t="s">
        <v>144</v>
      </c>
      <c r="B132" s="5" t="s">
        <v>4372</v>
      </c>
      <c r="C132" s="6" t="s">
        <v>1344</v>
      </c>
      <c r="D132" t="s">
        <v>2409</v>
      </c>
      <c r="E132" s="5">
        <v>3</v>
      </c>
      <c r="F132" s="5">
        <v>501.3</v>
      </c>
      <c r="G132" s="6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7">
        <v>1503.9</v>
      </c>
    </row>
    <row r="133" spans="1:14" x14ac:dyDescent="0.2">
      <c r="A133" t="s">
        <v>145</v>
      </c>
      <c r="B133" s="4">
        <v>45139</v>
      </c>
      <c r="C133" s="6" t="s">
        <v>1345</v>
      </c>
      <c r="D133" t="s">
        <v>2405</v>
      </c>
      <c r="E133" s="5">
        <v>1</v>
      </c>
      <c r="F133" s="5">
        <v>84.8</v>
      </c>
      <c r="G133" s="6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4299</v>
      </c>
      <c r="M133" t="s">
        <v>4278</v>
      </c>
      <c r="N133" s="5">
        <v>84.8</v>
      </c>
    </row>
    <row r="134" spans="1:14" x14ac:dyDescent="0.2">
      <c r="A134" t="s">
        <v>146</v>
      </c>
      <c r="B134" s="5" t="s">
        <v>4373</v>
      </c>
      <c r="C134" s="6" t="s">
        <v>1346</v>
      </c>
      <c r="D134" t="s">
        <v>2405</v>
      </c>
      <c r="E134" s="5">
        <v>4</v>
      </c>
      <c r="F134" s="5">
        <v>450.75</v>
      </c>
      <c r="G134" s="6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7">
        <v>1803</v>
      </c>
    </row>
    <row r="135" spans="1:14" x14ac:dyDescent="0.2">
      <c r="A135" t="s">
        <v>147</v>
      </c>
      <c r="B135" s="5" t="s">
        <v>4374</v>
      </c>
      <c r="C135" s="6" t="s">
        <v>1347</v>
      </c>
      <c r="D135" t="s">
        <v>2406</v>
      </c>
      <c r="E135" s="5">
        <v>4</v>
      </c>
      <c r="F135" s="5">
        <v>302.05</v>
      </c>
      <c r="G135" s="6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7">
        <v>1208.2</v>
      </c>
    </row>
    <row r="136" spans="1:14" x14ac:dyDescent="0.2">
      <c r="A136" t="s">
        <v>148</v>
      </c>
      <c r="B136" s="5" t="s">
        <v>4375</v>
      </c>
      <c r="C136" s="6" t="s">
        <v>1348</v>
      </c>
      <c r="D136" t="s">
        <v>2408</v>
      </c>
      <c r="E136" s="5">
        <v>2</v>
      </c>
      <c r="F136" s="5">
        <v>199.7</v>
      </c>
      <c r="G136" s="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4299</v>
      </c>
      <c r="M136" t="s">
        <v>4280</v>
      </c>
      <c r="N136" s="5">
        <v>399.4</v>
      </c>
    </row>
    <row r="137" spans="1:14" x14ac:dyDescent="0.2">
      <c r="A137" t="s">
        <v>149</v>
      </c>
      <c r="B137" s="4">
        <v>45024</v>
      </c>
      <c r="C137" s="6" t="s">
        <v>1349</v>
      </c>
      <c r="D137" t="s">
        <v>2407</v>
      </c>
      <c r="E137" s="5">
        <v>2</v>
      </c>
      <c r="F137" s="5">
        <v>68.81</v>
      </c>
      <c r="G137" s="6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5">
        <v>137.62</v>
      </c>
    </row>
    <row r="138" spans="1:14" x14ac:dyDescent="0.2">
      <c r="A138" t="s">
        <v>150</v>
      </c>
      <c r="B138" s="5" t="s">
        <v>4376</v>
      </c>
      <c r="C138" s="6" t="s">
        <v>1350</v>
      </c>
      <c r="D138" t="s">
        <v>2408</v>
      </c>
      <c r="E138" s="5">
        <v>1</v>
      </c>
      <c r="F138" s="5">
        <v>44.35</v>
      </c>
      <c r="G138" s="6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5">
        <v>44.35</v>
      </c>
    </row>
    <row r="139" spans="1:14" x14ac:dyDescent="0.2">
      <c r="A139" t="s">
        <v>151</v>
      </c>
      <c r="B139" s="5" t="s">
        <v>4377</v>
      </c>
      <c r="C139" s="6" t="s">
        <v>1351</v>
      </c>
      <c r="D139" t="s">
        <v>2403</v>
      </c>
      <c r="E139" s="5">
        <v>2</v>
      </c>
      <c r="F139" s="5">
        <v>250.98</v>
      </c>
      <c r="G139" s="6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4299</v>
      </c>
      <c r="M139" t="s">
        <v>4282</v>
      </c>
      <c r="N139" s="5">
        <v>501.96</v>
      </c>
    </row>
    <row r="140" spans="1:14" x14ac:dyDescent="0.2">
      <c r="A140" t="s">
        <v>152</v>
      </c>
      <c r="B140" s="5" t="s">
        <v>4378</v>
      </c>
      <c r="C140" s="6" t="s">
        <v>1352</v>
      </c>
      <c r="D140" t="s">
        <v>2405</v>
      </c>
      <c r="E140" s="5">
        <v>1</v>
      </c>
      <c r="F140" s="5">
        <v>298.06</v>
      </c>
      <c r="G140" s="6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5">
        <v>298.06</v>
      </c>
    </row>
    <row r="141" spans="1:14" x14ac:dyDescent="0.2">
      <c r="A141" t="s">
        <v>153</v>
      </c>
      <c r="B141" s="4">
        <v>45203</v>
      </c>
      <c r="C141" s="6" t="s">
        <v>1353</v>
      </c>
      <c r="D141" t="s">
        <v>2404</v>
      </c>
      <c r="E141" s="5">
        <v>1</v>
      </c>
      <c r="F141" s="5">
        <v>583.9</v>
      </c>
      <c r="G141" s="6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4299</v>
      </c>
      <c r="M141" t="s">
        <v>4280</v>
      </c>
      <c r="N141" s="5">
        <v>583.9</v>
      </c>
    </row>
    <row r="142" spans="1:14" x14ac:dyDescent="0.2">
      <c r="A142" t="s">
        <v>154</v>
      </c>
      <c r="B142" s="5" t="s">
        <v>4379</v>
      </c>
      <c r="C142" s="6" t="s">
        <v>1354</v>
      </c>
      <c r="D142" t="s">
        <v>2406</v>
      </c>
      <c r="E142" s="5">
        <v>3</v>
      </c>
      <c r="F142" s="5">
        <v>528.14</v>
      </c>
      <c r="G142" s="6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7">
        <v>1584.42</v>
      </c>
    </row>
    <row r="143" spans="1:14" x14ac:dyDescent="0.2">
      <c r="A143" t="s">
        <v>155</v>
      </c>
      <c r="B143" s="5" t="s">
        <v>4380</v>
      </c>
      <c r="C143" s="6" t="s">
        <v>1355</v>
      </c>
      <c r="D143" t="s">
        <v>2407</v>
      </c>
      <c r="E143" s="5">
        <v>3</v>
      </c>
      <c r="F143" s="5">
        <v>684.14</v>
      </c>
      <c r="G143" s="6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7">
        <v>2052.42</v>
      </c>
    </row>
    <row r="144" spans="1:14" x14ac:dyDescent="0.2">
      <c r="A144" t="s">
        <v>156</v>
      </c>
      <c r="B144" s="4">
        <v>45086</v>
      </c>
      <c r="C144" s="6" t="s">
        <v>1356</v>
      </c>
      <c r="D144" t="s">
        <v>2409</v>
      </c>
      <c r="E144" s="5">
        <v>5</v>
      </c>
      <c r="F144" s="5">
        <v>272.77</v>
      </c>
      <c r="G144" s="6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7">
        <v>1363.85</v>
      </c>
    </row>
    <row r="145" spans="1:14" x14ac:dyDescent="0.2">
      <c r="A145" t="s">
        <v>157</v>
      </c>
      <c r="B145" s="5" t="s">
        <v>4381</v>
      </c>
      <c r="C145" s="6" t="s">
        <v>1357</v>
      </c>
      <c r="D145" t="s">
        <v>2406</v>
      </c>
      <c r="E145" s="5">
        <v>4</v>
      </c>
      <c r="F145" s="5">
        <v>400.07</v>
      </c>
      <c r="G145" s="6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4299</v>
      </c>
      <c r="M145" t="s">
        <v>4279</v>
      </c>
      <c r="N145" s="7">
        <v>1600.28</v>
      </c>
    </row>
    <row r="146" spans="1:14" x14ac:dyDescent="0.2">
      <c r="A146" t="s">
        <v>158</v>
      </c>
      <c r="B146" s="4">
        <v>45024</v>
      </c>
      <c r="C146" s="6" t="s">
        <v>1358</v>
      </c>
      <c r="D146" t="s">
        <v>2409</v>
      </c>
      <c r="E146" s="5">
        <v>5</v>
      </c>
      <c r="F146" s="5">
        <v>219.78</v>
      </c>
      <c r="G146" s="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4299</v>
      </c>
      <c r="M146" t="s">
        <v>4281</v>
      </c>
      <c r="N146" s="7">
        <v>1098.9000000000001</v>
      </c>
    </row>
    <row r="147" spans="1:14" x14ac:dyDescent="0.2">
      <c r="A147" t="s">
        <v>159</v>
      </c>
      <c r="B147" s="4">
        <v>45325</v>
      </c>
      <c r="C147" s="6" t="s">
        <v>1359</v>
      </c>
      <c r="D147" t="s">
        <v>2407</v>
      </c>
      <c r="E147" s="5">
        <v>3</v>
      </c>
      <c r="F147" s="5">
        <v>146.91</v>
      </c>
      <c r="G147" s="6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5">
        <v>440.73</v>
      </c>
    </row>
    <row r="148" spans="1:14" x14ac:dyDescent="0.2">
      <c r="A148" t="s">
        <v>160</v>
      </c>
      <c r="B148" s="5" t="s">
        <v>4382</v>
      </c>
      <c r="C148" s="6" t="s">
        <v>1360</v>
      </c>
      <c r="D148" t="s">
        <v>2405</v>
      </c>
      <c r="E148" s="5">
        <v>2</v>
      </c>
      <c r="F148" s="5">
        <v>411.49</v>
      </c>
      <c r="G148" s="6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4299</v>
      </c>
      <c r="M148" t="s">
        <v>4278</v>
      </c>
      <c r="N148" s="5">
        <v>822.98</v>
      </c>
    </row>
    <row r="149" spans="1:14" x14ac:dyDescent="0.2">
      <c r="A149" t="s">
        <v>161</v>
      </c>
      <c r="B149" s="4">
        <v>45813</v>
      </c>
      <c r="C149" s="6" t="s">
        <v>1361</v>
      </c>
      <c r="D149" t="s">
        <v>2408</v>
      </c>
      <c r="E149" s="5">
        <v>2</v>
      </c>
      <c r="F149" s="5">
        <v>465.18</v>
      </c>
      <c r="G149" s="6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5">
        <v>930.36</v>
      </c>
    </row>
    <row r="150" spans="1:14" x14ac:dyDescent="0.2">
      <c r="A150" t="s">
        <v>162</v>
      </c>
      <c r="B150" s="5" t="s">
        <v>4383</v>
      </c>
      <c r="C150" s="6" t="s">
        <v>1362</v>
      </c>
      <c r="D150" t="s">
        <v>2404</v>
      </c>
      <c r="E150" s="5">
        <v>2</v>
      </c>
      <c r="F150" s="5">
        <v>319.91000000000003</v>
      </c>
      <c r="G150" s="6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5">
        <v>639.82000000000005</v>
      </c>
    </row>
    <row r="151" spans="1:14" x14ac:dyDescent="0.2">
      <c r="A151" t="s">
        <v>163</v>
      </c>
      <c r="B151" s="5" t="s">
        <v>4384</v>
      </c>
      <c r="C151" s="6" t="s">
        <v>1363</v>
      </c>
      <c r="D151" t="s">
        <v>2408</v>
      </c>
      <c r="E151" s="5">
        <v>1</v>
      </c>
      <c r="F151" s="5">
        <v>217.56</v>
      </c>
      <c r="G151" s="6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4299</v>
      </c>
      <c r="M151" t="s">
        <v>4281</v>
      </c>
      <c r="N151" s="5">
        <v>217.56</v>
      </c>
    </row>
    <row r="152" spans="1:14" x14ac:dyDescent="0.2">
      <c r="A152" t="s">
        <v>164</v>
      </c>
      <c r="B152" s="5" t="s">
        <v>4385</v>
      </c>
      <c r="C152" s="6" t="s">
        <v>1364</v>
      </c>
      <c r="D152" t="s">
        <v>2404</v>
      </c>
      <c r="E152" s="5">
        <v>2</v>
      </c>
      <c r="F152" s="5">
        <v>105.57</v>
      </c>
      <c r="G152" s="6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5">
        <v>211.14</v>
      </c>
    </row>
    <row r="153" spans="1:14" x14ac:dyDescent="0.2">
      <c r="A153" t="s">
        <v>165</v>
      </c>
      <c r="B153" s="4">
        <v>44938</v>
      </c>
      <c r="C153" s="6" t="s">
        <v>1365</v>
      </c>
      <c r="D153" t="s">
        <v>2407</v>
      </c>
      <c r="E153" s="5">
        <v>5</v>
      </c>
      <c r="F153" s="5">
        <v>444.76</v>
      </c>
      <c r="G153" s="6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4299</v>
      </c>
      <c r="M153" t="s">
        <v>4280</v>
      </c>
      <c r="N153" s="7">
        <v>2223.8000000000002</v>
      </c>
    </row>
    <row r="154" spans="1:14" x14ac:dyDescent="0.2">
      <c r="A154" t="s">
        <v>166</v>
      </c>
      <c r="B154" s="4">
        <v>45689</v>
      </c>
      <c r="C154" s="6" t="s">
        <v>1366</v>
      </c>
      <c r="D154" t="s">
        <v>2406</v>
      </c>
      <c r="E154" s="5">
        <v>2</v>
      </c>
      <c r="F154" s="5">
        <v>399.04</v>
      </c>
      <c r="G154" s="6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5">
        <v>798.08</v>
      </c>
    </row>
    <row r="155" spans="1:14" x14ac:dyDescent="0.2">
      <c r="A155" t="s">
        <v>167</v>
      </c>
      <c r="B155" s="5" t="s">
        <v>4386</v>
      </c>
      <c r="C155" s="6" t="s">
        <v>1367</v>
      </c>
      <c r="D155" t="s">
        <v>2406</v>
      </c>
      <c r="E155" s="5">
        <v>4</v>
      </c>
      <c r="F155" s="5">
        <v>534.48</v>
      </c>
      <c r="G155" s="6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7">
        <v>2137.92</v>
      </c>
    </row>
    <row r="156" spans="1:14" x14ac:dyDescent="0.2">
      <c r="A156" t="s">
        <v>168</v>
      </c>
      <c r="B156" s="5" t="s">
        <v>4387</v>
      </c>
      <c r="C156" s="6" t="s">
        <v>1368</v>
      </c>
      <c r="D156" t="s">
        <v>2404</v>
      </c>
      <c r="E156" s="5">
        <v>4</v>
      </c>
      <c r="F156" s="5">
        <v>408.21</v>
      </c>
      <c r="G156" s="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4299</v>
      </c>
      <c r="M156" t="s">
        <v>4278</v>
      </c>
      <c r="N156" s="7">
        <v>1632.84</v>
      </c>
    </row>
    <row r="157" spans="1:14" x14ac:dyDescent="0.2">
      <c r="A157" t="s">
        <v>169</v>
      </c>
      <c r="B157" s="5" t="s">
        <v>4388</v>
      </c>
      <c r="C157" s="6" t="s">
        <v>1369</v>
      </c>
      <c r="D157" t="s">
        <v>2404</v>
      </c>
      <c r="E157" s="5">
        <v>1</v>
      </c>
      <c r="F157" s="5">
        <v>424.4</v>
      </c>
      <c r="G157" s="6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5">
        <v>424.4</v>
      </c>
    </row>
    <row r="158" spans="1:14" x14ac:dyDescent="0.2">
      <c r="A158" t="s">
        <v>170</v>
      </c>
      <c r="B158" s="4">
        <v>45515</v>
      </c>
      <c r="C158" s="6" t="s">
        <v>1370</v>
      </c>
      <c r="D158" t="s">
        <v>2406</v>
      </c>
      <c r="E158" s="5">
        <v>2</v>
      </c>
      <c r="F158" s="5">
        <v>269.83</v>
      </c>
      <c r="G158" s="6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5">
        <v>539.66</v>
      </c>
    </row>
    <row r="159" spans="1:14" x14ac:dyDescent="0.2">
      <c r="A159" t="s">
        <v>171</v>
      </c>
      <c r="B159" s="5" t="s">
        <v>4389</v>
      </c>
      <c r="C159" s="6" t="s">
        <v>1371</v>
      </c>
      <c r="D159" t="s">
        <v>2403</v>
      </c>
      <c r="E159" s="5">
        <v>2</v>
      </c>
      <c r="F159" s="5">
        <v>564.58000000000004</v>
      </c>
      <c r="G159" s="6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7">
        <v>1129.1600000000001</v>
      </c>
    </row>
    <row r="160" spans="1:14" x14ac:dyDescent="0.2">
      <c r="A160" t="s">
        <v>172</v>
      </c>
      <c r="B160" s="5" t="s">
        <v>4390</v>
      </c>
      <c r="C160" s="6" t="s">
        <v>1372</v>
      </c>
      <c r="D160" t="s">
        <v>2405</v>
      </c>
      <c r="E160" s="5">
        <v>1</v>
      </c>
      <c r="F160" s="5">
        <v>331.06</v>
      </c>
      <c r="G160" s="6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5">
        <v>331.06</v>
      </c>
    </row>
    <row r="161" spans="1:14" x14ac:dyDescent="0.2">
      <c r="A161" t="s">
        <v>173</v>
      </c>
      <c r="B161" s="5" t="s">
        <v>4391</v>
      </c>
      <c r="C161" s="6" t="s">
        <v>1373</v>
      </c>
      <c r="D161" t="s">
        <v>2407</v>
      </c>
      <c r="E161" s="5">
        <v>1</v>
      </c>
      <c r="F161" s="5">
        <v>299.35000000000002</v>
      </c>
      <c r="G161" s="6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5">
        <v>299.35000000000002</v>
      </c>
    </row>
    <row r="162" spans="1:14" x14ac:dyDescent="0.2">
      <c r="A162" t="s">
        <v>174</v>
      </c>
      <c r="B162" s="5" t="s">
        <v>4356</v>
      </c>
      <c r="C162" s="6" t="s">
        <v>1374</v>
      </c>
      <c r="D162" t="s">
        <v>2403</v>
      </c>
      <c r="E162" s="5">
        <v>4</v>
      </c>
      <c r="F162" s="5">
        <v>101.32</v>
      </c>
      <c r="G162" s="6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4299</v>
      </c>
      <c r="M162" t="s">
        <v>4279</v>
      </c>
      <c r="N162" s="5">
        <v>405.28</v>
      </c>
    </row>
    <row r="163" spans="1:14" x14ac:dyDescent="0.2">
      <c r="A163" t="s">
        <v>175</v>
      </c>
      <c r="B163" s="5" t="s">
        <v>4392</v>
      </c>
      <c r="C163" s="6" t="s">
        <v>1375</v>
      </c>
      <c r="D163" t="s">
        <v>2403</v>
      </c>
      <c r="E163" s="5">
        <v>1</v>
      </c>
      <c r="F163" s="5">
        <v>211.14</v>
      </c>
      <c r="G163" s="6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5">
        <v>211.14</v>
      </c>
    </row>
    <row r="164" spans="1:14" x14ac:dyDescent="0.2">
      <c r="A164" t="s">
        <v>176</v>
      </c>
      <c r="B164" s="5" t="s">
        <v>4393</v>
      </c>
      <c r="C164" s="6" t="s">
        <v>1376</v>
      </c>
      <c r="D164" t="s">
        <v>2406</v>
      </c>
      <c r="E164" s="5">
        <v>3</v>
      </c>
      <c r="F164" s="5">
        <v>65.86</v>
      </c>
      <c r="G164" s="6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5">
        <v>197.58</v>
      </c>
    </row>
    <row r="165" spans="1:14" x14ac:dyDescent="0.2">
      <c r="A165" t="s">
        <v>177</v>
      </c>
      <c r="B165" s="5" t="s">
        <v>4331</v>
      </c>
      <c r="C165" s="6" t="s">
        <v>1377</v>
      </c>
      <c r="D165" t="s">
        <v>2405</v>
      </c>
      <c r="E165" s="5">
        <v>1</v>
      </c>
      <c r="F165" s="5">
        <v>641.39</v>
      </c>
      <c r="G165" s="6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4299</v>
      </c>
      <c r="M165" t="s">
        <v>4279</v>
      </c>
      <c r="N165" s="5">
        <v>641.39</v>
      </c>
    </row>
    <row r="166" spans="1:14" x14ac:dyDescent="0.2">
      <c r="A166" t="s">
        <v>178</v>
      </c>
      <c r="B166" s="5" t="s">
        <v>4394</v>
      </c>
      <c r="C166" s="6" t="s">
        <v>1378</v>
      </c>
      <c r="D166" t="s">
        <v>2409</v>
      </c>
      <c r="E166" s="5">
        <v>5</v>
      </c>
      <c r="F166" s="5">
        <v>536.58000000000004</v>
      </c>
      <c r="G166" s="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7">
        <v>2682.9</v>
      </c>
    </row>
    <row r="167" spans="1:14" x14ac:dyDescent="0.2">
      <c r="A167" t="s">
        <v>179</v>
      </c>
      <c r="B167" s="5" t="s">
        <v>4395</v>
      </c>
      <c r="C167" s="6" t="s">
        <v>1379</v>
      </c>
      <c r="D167" t="s">
        <v>2403</v>
      </c>
      <c r="E167" s="5">
        <v>2</v>
      </c>
      <c r="F167" s="5">
        <v>500.29</v>
      </c>
      <c r="G167" s="6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7">
        <v>1000.58</v>
      </c>
    </row>
    <row r="168" spans="1:14" x14ac:dyDescent="0.2">
      <c r="A168" t="s">
        <v>180</v>
      </c>
      <c r="B168" s="4">
        <v>45750</v>
      </c>
      <c r="C168" s="6" t="s">
        <v>1380</v>
      </c>
      <c r="D168" t="s">
        <v>2406</v>
      </c>
      <c r="E168" s="5">
        <v>3</v>
      </c>
      <c r="F168" s="5">
        <v>86.29</v>
      </c>
      <c r="G168" s="6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5">
        <v>258.87</v>
      </c>
    </row>
    <row r="169" spans="1:14" x14ac:dyDescent="0.2">
      <c r="A169" t="s">
        <v>181</v>
      </c>
      <c r="B169" s="5" t="s">
        <v>4396</v>
      </c>
      <c r="C169" s="6" t="s">
        <v>1381</v>
      </c>
      <c r="D169" t="s">
        <v>2406</v>
      </c>
      <c r="E169" s="5">
        <v>2</v>
      </c>
      <c r="F169" s="5">
        <v>384.14</v>
      </c>
      <c r="G169" s="6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5">
        <v>768.28</v>
      </c>
    </row>
    <row r="170" spans="1:14" x14ac:dyDescent="0.2">
      <c r="A170" t="s">
        <v>182</v>
      </c>
      <c r="B170" s="4">
        <v>45748</v>
      </c>
      <c r="C170" s="6" t="s">
        <v>1382</v>
      </c>
      <c r="D170" t="s">
        <v>2407</v>
      </c>
      <c r="E170" s="5">
        <v>1</v>
      </c>
      <c r="F170" s="5">
        <v>594.96</v>
      </c>
      <c r="G170" s="6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4299</v>
      </c>
      <c r="M170" t="s">
        <v>4281</v>
      </c>
      <c r="N170" s="5">
        <v>594.96</v>
      </c>
    </row>
    <row r="171" spans="1:14" x14ac:dyDescent="0.2">
      <c r="A171" t="s">
        <v>183</v>
      </c>
      <c r="B171" s="4">
        <v>45477</v>
      </c>
      <c r="C171" s="6" t="s">
        <v>1383</v>
      </c>
      <c r="D171" t="s">
        <v>2407</v>
      </c>
      <c r="E171" s="5">
        <v>1</v>
      </c>
      <c r="F171" s="5">
        <v>427.82</v>
      </c>
      <c r="G171" s="6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5">
        <v>427.82</v>
      </c>
    </row>
    <row r="172" spans="1:14" x14ac:dyDescent="0.2">
      <c r="A172" t="s">
        <v>184</v>
      </c>
      <c r="B172" s="4">
        <v>45751</v>
      </c>
      <c r="C172" s="6" t="s">
        <v>1384</v>
      </c>
      <c r="D172" t="s">
        <v>2409</v>
      </c>
      <c r="E172" s="5">
        <v>4</v>
      </c>
      <c r="F172" s="5">
        <v>662.94</v>
      </c>
      <c r="G172" s="6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7">
        <v>2651.76</v>
      </c>
    </row>
    <row r="173" spans="1:14" x14ac:dyDescent="0.2">
      <c r="A173" t="s">
        <v>185</v>
      </c>
      <c r="B173" s="5" t="s">
        <v>4397</v>
      </c>
      <c r="C173" s="6" t="s">
        <v>1385</v>
      </c>
      <c r="D173" t="s">
        <v>2405</v>
      </c>
      <c r="E173" s="5">
        <v>2</v>
      </c>
      <c r="F173" s="5">
        <v>148.22</v>
      </c>
      <c r="G173" s="6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5">
        <v>296.44</v>
      </c>
    </row>
    <row r="174" spans="1:14" x14ac:dyDescent="0.2">
      <c r="A174" t="s">
        <v>186</v>
      </c>
      <c r="B174" s="4">
        <v>45812</v>
      </c>
      <c r="C174" s="6" t="s">
        <v>1386</v>
      </c>
      <c r="D174" t="s">
        <v>2407</v>
      </c>
      <c r="E174" s="5">
        <v>1</v>
      </c>
      <c r="F174" s="5">
        <v>254.12</v>
      </c>
      <c r="G174" s="6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5">
        <v>254.12</v>
      </c>
    </row>
    <row r="175" spans="1:14" x14ac:dyDescent="0.2">
      <c r="A175" t="s">
        <v>187</v>
      </c>
      <c r="B175" s="5" t="s">
        <v>4336</v>
      </c>
      <c r="C175" s="6" t="s">
        <v>1387</v>
      </c>
      <c r="D175" t="s">
        <v>2404</v>
      </c>
      <c r="E175" s="5">
        <v>3</v>
      </c>
      <c r="F175" s="5">
        <v>664.46</v>
      </c>
      <c r="G175" s="6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7">
        <v>1993.38</v>
      </c>
    </row>
    <row r="176" spans="1:14" x14ac:dyDescent="0.2">
      <c r="A176" t="s">
        <v>188</v>
      </c>
      <c r="B176" s="5" t="s">
        <v>4398</v>
      </c>
      <c r="C176" s="6" t="s">
        <v>1388</v>
      </c>
      <c r="D176" t="s">
        <v>2407</v>
      </c>
      <c r="E176" s="5">
        <v>4</v>
      </c>
      <c r="F176" s="5">
        <v>600.80999999999995</v>
      </c>
      <c r="G176" s="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7">
        <v>2403.2399999999998</v>
      </c>
    </row>
    <row r="177" spans="1:14" x14ac:dyDescent="0.2">
      <c r="A177" t="s">
        <v>189</v>
      </c>
      <c r="B177" s="4">
        <v>45871</v>
      </c>
      <c r="C177" s="6" t="s">
        <v>1389</v>
      </c>
      <c r="D177" t="s">
        <v>2406</v>
      </c>
      <c r="E177" s="5">
        <v>5</v>
      </c>
      <c r="F177" s="5">
        <v>68.34</v>
      </c>
      <c r="G177" s="6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5">
        <v>341.7</v>
      </c>
    </row>
    <row r="178" spans="1:14" x14ac:dyDescent="0.2">
      <c r="A178" t="s">
        <v>190</v>
      </c>
      <c r="B178" s="5" t="s">
        <v>4399</v>
      </c>
      <c r="C178" s="6" t="s">
        <v>1390</v>
      </c>
      <c r="D178" t="s">
        <v>2405</v>
      </c>
      <c r="E178" s="5">
        <v>4</v>
      </c>
      <c r="F178" s="5">
        <v>430.83</v>
      </c>
      <c r="G178" s="6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7">
        <v>1723.32</v>
      </c>
    </row>
    <row r="179" spans="1:14" x14ac:dyDescent="0.2">
      <c r="A179" t="s">
        <v>191</v>
      </c>
      <c r="B179" s="4">
        <v>45054</v>
      </c>
      <c r="C179" s="6" t="s">
        <v>1391</v>
      </c>
      <c r="D179" t="s">
        <v>2406</v>
      </c>
      <c r="E179" s="5">
        <v>5</v>
      </c>
      <c r="F179" s="5">
        <v>431.69</v>
      </c>
      <c r="G179" s="6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4299</v>
      </c>
      <c r="M179" t="s">
        <v>4281</v>
      </c>
      <c r="N179" s="7">
        <v>2158.4499999999998</v>
      </c>
    </row>
    <row r="180" spans="1:14" x14ac:dyDescent="0.2">
      <c r="A180" t="s">
        <v>192</v>
      </c>
      <c r="B180" s="4">
        <v>45600</v>
      </c>
      <c r="C180" s="6" t="s">
        <v>1392</v>
      </c>
      <c r="D180" t="s">
        <v>2406</v>
      </c>
      <c r="E180" s="5">
        <v>4</v>
      </c>
      <c r="F180" s="5">
        <v>512.05999999999995</v>
      </c>
      <c r="G180" s="6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7">
        <v>2048.2399999999998</v>
      </c>
    </row>
    <row r="181" spans="1:14" x14ac:dyDescent="0.2">
      <c r="A181" t="s">
        <v>193</v>
      </c>
      <c r="B181" s="5" t="s">
        <v>4400</v>
      </c>
      <c r="C181" s="6" t="s">
        <v>1393</v>
      </c>
      <c r="D181" t="s">
        <v>2408</v>
      </c>
      <c r="E181" s="5">
        <v>3</v>
      </c>
      <c r="F181" s="5">
        <v>539.91</v>
      </c>
      <c r="G181" s="6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4299</v>
      </c>
      <c r="M181" t="s">
        <v>4280</v>
      </c>
      <c r="N181" s="7">
        <v>1619.73</v>
      </c>
    </row>
    <row r="182" spans="1:14" x14ac:dyDescent="0.2">
      <c r="A182" t="s">
        <v>194</v>
      </c>
      <c r="B182" s="5" t="s">
        <v>4401</v>
      </c>
      <c r="C182" s="6" t="s">
        <v>1394</v>
      </c>
      <c r="D182" t="s">
        <v>2405</v>
      </c>
      <c r="E182" s="5">
        <v>5</v>
      </c>
      <c r="F182" s="5">
        <v>316.07</v>
      </c>
      <c r="G182" s="6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4299</v>
      </c>
      <c r="M182" t="s">
        <v>4282</v>
      </c>
      <c r="N182" s="7">
        <v>1580.35</v>
      </c>
    </row>
    <row r="183" spans="1:14" x14ac:dyDescent="0.2">
      <c r="A183" t="s">
        <v>195</v>
      </c>
      <c r="B183" s="5" t="s">
        <v>4402</v>
      </c>
      <c r="C183" s="6" t="s">
        <v>1395</v>
      </c>
      <c r="D183" t="s">
        <v>2407</v>
      </c>
      <c r="E183" s="5">
        <v>5</v>
      </c>
      <c r="F183" s="5">
        <v>404.39</v>
      </c>
      <c r="G183" s="6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4299</v>
      </c>
      <c r="M183" t="s">
        <v>4279</v>
      </c>
      <c r="N183" s="7">
        <v>2021.95</v>
      </c>
    </row>
    <row r="184" spans="1:14" x14ac:dyDescent="0.2">
      <c r="A184" t="s">
        <v>196</v>
      </c>
      <c r="B184" s="5" t="s">
        <v>4403</v>
      </c>
      <c r="C184" s="6" t="s">
        <v>1396</v>
      </c>
      <c r="D184" t="s">
        <v>2409</v>
      </c>
      <c r="E184" s="5">
        <v>1</v>
      </c>
      <c r="F184" s="5">
        <v>600.54</v>
      </c>
      <c r="G184" s="6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5">
        <v>600.54</v>
      </c>
    </row>
    <row r="185" spans="1:14" x14ac:dyDescent="0.2">
      <c r="A185" t="s">
        <v>197</v>
      </c>
      <c r="B185" s="5" t="s">
        <v>4404</v>
      </c>
      <c r="C185" s="6" t="s">
        <v>1397</v>
      </c>
      <c r="D185" t="s">
        <v>2403</v>
      </c>
      <c r="E185" s="5">
        <v>5</v>
      </c>
      <c r="F185" s="5">
        <v>186.28</v>
      </c>
      <c r="G185" s="6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5">
        <v>931.4</v>
      </c>
    </row>
    <row r="186" spans="1:14" x14ac:dyDescent="0.2">
      <c r="A186" t="s">
        <v>198</v>
      </c>
      <c r="B186" s="4">
        <v>45386</v>
      </c>
      <c r="C186" s="6" t="s">
        <v>1398</v>
      </c>
      <c r="D186" t="s">
        <v>2405</v>
      </c>
      <c r="E186" s="5">
        <v>4</v>
      </c>
      <c r="F186" s="5">
        <v>214.54</v>
      </c>
      <c r="G186" s="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4299</v>
      </c>
      <c r="M186" t="s">
        <v>4279</v>
      </c>
      <c r="N186" s="5">
        <v>858.16</v>
      </c>
    </row>
    <row r="187" spans="1:14" x14ac:dyDescent="0.2">
      <c r="A187" t="s">
        <v>199</v>
      </c>
      <c r="B187" s="4">
        <v>45690</v>
      </c>
      <c r="C187" s="6" t="s">
        <v>1399</v>
      </c>
      <c r="D187" t="s">
        <v>2408</v>
      </c>
      <c r="E187" s="5">
        <v>1</v>
      </c>
      <c r="F187" s="5">
        <v>210.7</v>
      </c>
      <c r="G187" s="6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5">
        <v>210.7</v>
      </c>
    </row>
    <row r="188" spans="1:14" x14ac:dyDescent="0.2">
      <c r="A188" t="s">
        <v>200</v>
      </c>
      <c r="B188" s="4">
        <v>45119</v>
      </c>
      <c r="C188" s="6" t="s">
        <v>1400</v>
      </c>
      <c r="D188" t="s">
        <v>2404</v>
      </c>
      <c r="E188" s="5">
        <v>2</v>
      </c>
      <c r="F188" s="5">
        <v>133.55000000000001</v>
      </c>
      <c r="G188" s="6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5">
        <v>267.10000000000002</v>
      </c>
    </row>
    <row r="189" spans="1:14" x14ac:dyDescent="0.2">
      <c r="A189" t="s">
        <v>201</v>
      </c>
      <c r="B189" s="4">
        <v>45140</v>
      </c>
      <c r="C189" s="6" t="s">
        <v>1401</v>
      </c>
      <c r="D189" t="s">
        <v>2406</v>
      </c>
      <c r="E189" s="5">
        <v>1</v>
      </c>
      <c r="F189" s="5">
        <v>590.87</v>
      </c>
      <c r="G189" s="6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5">
        <v>590.87</v>
      </c>
    </row>
    <row r="190" spans="1:14" x14ac:dyDescent="0.2">
      <c r="A190" t="s">
        <v>202</v>
      </c>
      <c r="B190" s="5" t="s">
        <v>4405</v>
      </c>
      <c r="C190" s="6" t="s">
        <v>1402</v>
      </c>
      <c r="D190" t="s">
        <v>2406</v>
      </c>
      <c r="E190" s="5">
        <v>2</v>
      </c>
      <c r="F190" s="5">
        <v>363.91</v>
      </c>
      <c r="G190" s="6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5">
        <v>727.82</v>
      </c>
    </row>
    <row r="191" spans="1:14" x14ac:dyDescent="0.2">
      <c r="A191" t="s">
        <v>203</v>
      </c>
      <c r="B191" s="4">
        <v>45053</v>
      </c>
      <c r="C191" s="6" t="s">
        <v>1403</v>
      </c>
      <c r="D191" t="s">
        <v>2407</v>
      </c>
      <c r="E191" s="5">
        <v>5</v>
      </c>
      <c r="F191" s="5">
        <v>429.45</v>
      </c>
      <c r="G191" s="6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7">
        <v>2147.25</v>
      </c>
    </row>
    <row r="192" spans="1:14" x14ac:dyDescent="0.2">
      <c r="A192" t="s">
        <v>204</v>
      </c>
      <c r="B192" s="5" t="s">
        <v>4402</v>
      </c>
      <c r="C192" s="6" t="s">
        <v>1404</v>
      </c>
      <c r="D192" t="s">
        <v>2407</v>
      </c>
      <c r="E192" s="5">
        <v>3</v>
      </c>
      <c r="F192" s="5">
        <v>223.7</v>
      </c>
      <c r="G192" s="6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5">
        <v>671.1</v>
      </c>
    </row>
    <row r="193" spans="1:14" x14ac:dyDescent="0.2">
      <c r="A193" t="s">
        <v>205</v>
      </c>
      <c r="B193" s="4">
        <v>45872</v>
      </c>
      <c r="C193" s="6" t="s">
        <v>1405</v>
      </c>
      <c r="D193" t="s">
        <v>2408</v>
      </c>
      <c r="E193" s="5">
        <v>2</v>
      </c>
      <c r="F193" s="5">
        <v>488.87</v>
      </c>
      <c r="G193" s="6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5">
        <v>977.74</v>
      </c>
    </row>
    <row r="194" spans="1:14" x14ac:dyDescent="0.2">
      <c r="A194" t="s">
        <v>206</v>
      </c>
      <c r="B194" s="4">
        <v>45238</v>
      </c>
      <c r="C194" s="6" t="s">
        <v>1406</v>
      </c>
      <c r="D194" t="s">
        <v>2409</v>
      </c>
      <c r="E194" s="5">
        <v>1</v>
      </c>
      <c r="F194" s="5">
        <v>645.46</v>
      </c>
      <c r="G194" s="6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5">
        <v>645.46</v>
      </c>
    </row>
    <row r="195" spans="1:14" x14ac:dyDescent="0.2">
      <c r="A195" t="s">
        <v>207</v>
      </c>
      <c r="B195" s="5" t="s">
        <v>4406</v>
      </c>
      <c r="C195" s="6" t="s">
        <v>1407</v>
      </c>
      <c r="D195" t="s">
        <v>2407</v>
      </c>
      <c r="E195" s="5">
        <v>1</v>
      </c>
      <c r="F195" s="5">
        <v>46.66</v>
      </c>
      <c r="G195" s="6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4299</v>
      </c>
      <c r="M195" t="s">
        <v>4282</v>
      </c>
      <c r="N195" s="5">
        <v>46.66</v>
      </c>
    </row>
    <row r="196" spans="1:14" x14ac:dyDescent="0.2">
      <c r="A196" t="s">
        <v>208</v>
      </c>
      <c r="B196" s="4">
        <v>45510</v>
      </c>
      <c r="C196" s="6" t="s">
        <v>1408</v>
      </c>
      <c r="D196" t="s">
        <v>2403</v>
      </c>
      <c r="E196" s="5">
        <v>1</v>
      </c>
      <c r="F196" s="5">
        <v>249.57</v>
      </c>
      <c r="G196" s="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5">
        <v>249.57</v>
      </c>
    </row>
    <row r="197" spans="1:14" x14ac:dyDescent="0.2">
      <c r="A197" t="s">
        <v>209</v>
      </c>
      <c r="B197" s="5" t="s">
        <v>4407</v>
      </c>
      <c r="C197" s="6" t="s">
        <v>1409</v>
      </c>
      <c r="D197" t="s">
        <v>2406</v>
      </c>
      <c r="E197" s="5">
        <v>3</v>
      </c>
      <c r="F197" s="5">
        <v>619.21</v>
      </c>
      <c r="G197" s="6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4299</v>
      </c>
      <c r="M197" t="s">
        <v>4280</v>
      </c>
      <c r="N197" s="7">
        <v>1857.63</v>
      </c>
    </row>
    <row r="198" spans="1:14" x14ac:dyDescent="0.2">
      <c r="A198" t="s">
        <v>210</v>
      </c>
      <c r="B198" s="5" t="s">
        <v>4408</v>
      </c>
      <c r="C198" s="6" t="s">
        <v>1410</v>
      </c>
      <c r="D198" t="s">
        <v>2409</v>
      </c>
      <c r="E198" s="5">
        <v>4</v>
      </c>
      <c r="F198" s="5">
        <v>217.13</v>
      </c>
      <c r="G198" s="6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5">
        <v>868.52</v>
      </c>
    </row>
    <row r="199" spans="1:14" x14ac:dyDescent="0.2">
      <c r="A199" t="s">
        <v>211</v>
      </c>
      <c r="B199" s="5" t="s">
        <v>4409</v>
      </c>
      <c r="C199" s="6" t="s">
        <v>1411</v>
      </c>
      <c r="D199" t="s">
        <v>2408</v>
      </c>
      <c r="E199" s="5">
        <v>5</v>
      </c>
      <c r="F199" s="5">
        <v>221.51</v>
      </c>
      <c r="G199" s="6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7">
        <v>1107.55</v>
      </c>
    </row>
    <row r="200" spans="1:14" x14ac:dyDescent="0.2">
      <c r="A200" t="s">
        <v>212</v>
      </c>
      <c r="B200" s="4">
        <v>45602</v>
      </c>
      <c r="C200" s="6" t="s">
        <v>1412</v>
      </c>
      <c r="D200" t="s">
        <v>2408</v>
      </c>
      <c r="E200" s="5">
        <v>4</v>
      </c>
      <c r="F200" s="5">
        <v>340.3</v>
      </c>
      <c r="G200" s="6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7">
        <v>1361.2</v>
      </c>
    </row>
    <row r="201" spans="1:14" x14ac:dyDescent="0.2">
      <c r="A201" t="s">
        <v>213</v>
      </c>
      <c r="B201" s="5" t="s">
        <v>4410</v>
      </c>
      <c r="C201" s="6" t="s">
        <v>1413</v>
      </c>
      <c r="D201" t="s">
        <v>2404</v>
      </c>
      <c r="E201" s="5">
        <v>1</v>
      </c>
      <c r="F201" s="5">
        <v>625</v>
      </c>
      <c r="G201" s="6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5">
        <v>625</v>
      </c>
    </row>
    <row r="202" spans="1:14" x14ac:dyDescent="0.2">
      <c r="A202" t="s">
        <v>214</v>
      </c>
      <c r="B202" s="4">
        <v>45844</v>
      </c>
      <c r="C202" s="6" t="s">
        <v>1414</v>
      </c>
      <c r="D202" t="s">
        <v>2405</v>
      </c>
      <c r="E202" s="5">
        <v>5</v>
      </c>
      <c r="F202" s="5">
        <v>433.26</v>
      </c>
      <c r="G202" s="6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7">
        <v>2166.3000000000002</v>
      </c>
    </row>
    <row r="203" spans="1:14" x14ac:dyDescent="0.2">
      <c r="A203" t="s">
        <v>215</v>
      </c>
      <c r="B203" s="5" t="s">
        <v>4411</v>
      </c>
      <c r="C203" s="6" t="s">
        <v>1415</v>
      </c>
      <c r="D203" t="s">
        <v>2403</v>
      </c>
      <c r="E203" s="5">
        <v>2</v>
      </c>
      <c r="F203" s="5">
        <v>674.9</v>
      </c>
      <c r="G203" s="6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7">
        <v>1349.8</v>
      </c>
    </row>
    <row r="204" spans="1:14" x14ac:dyDescent="0.2">
      <c r="A204" t="s">
        <v>216</v>
      </c>
      <c r="B204" s="4">
        <v>45810</v>
      </c>
      <c r="C204" s="6" t="s">
        <v>1416</v>
      </c>
      <c r="D204" t="s">
        <v>2403</v>
      </c>
      <c r="E204" s="5">
        <v>3</v>
      </c>
      <c r="F204" s="5">
        <v>253.98</v>
      </c>
      <c r="G204" s="6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5">
        <v>761.94</v>
      </c>
    </row>
    <row r="205" spans="1:14" x14ac:dyDescent="0.2">
      <c r="A205" t="s">
        <v>217</v>
      </c>
      <c r="B205" s="5" t="s">
        <v>4355</v>
      </c>
      <c r="C205" s="6" t="s">
        <v>1417</v>
      </c>
      <c r="D205" t="s">
        <v>2407</v>
      </c>
      <c r="E205" s="5">
        <v>3</v>
      </c>
      <c r="F205" s="5">
        <v>356.84</v>
      </c>
      <c r="G205" s="6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7">
        <v>1070.52</v>
      </c>
    </row>
    <row r="206" spans="1:14" x14ac:dyDescent="0.2">
      <c r="A206" t="s">
        <v>218</v>
      </c>
      <c r="B206" s="4">
        <v>45055</v>
      </c>
      <c r="C206" s="6" t="s">
        <v>1418</v>
      </c>
      <c r="D206" t="s">
        <v>2408</v>
      </c>
      <c r="E206" s="5">
        <v>4</v>
      </c>
      <c r="F206" s="5">
        <v>413.71</v>
      </c>
      <c r="G206" s="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7">
        <v>1654.84</v>
      </c>
    </row>
    <row r="207" spans="1:14" x14ac:dyDescent="0.2">
      <c r="A207" t="s">
        <v>219</v>
      </c>
      <c r="B207" s="4">
        <v>45019</v>
      </c>
      <c r="C207" s="6" t="s">
        <v>1419</v>
      </c>
      <c r="D207" t="s">
        <v>2409</v>
      </c>
      <c r="E207" s="5">
        <v>3</v>
      </c>
      <c r="F207" s="5">
        <v>147.38999999999999</v>
      </c>
      <c r="G207" s="6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4299</v>
      </c>
      <c r="M207" t="s">
        <v>4280</v>
      </c>
      <c r="N207" s="5">
        <v>442.17</v>
      </c>
    </row>
    <row r="208" spans="1:14" x14ac:dyDescent="0.2">
      <c r="A208" t="s">
        <v>220</v>
      </c>
      <c r="B208" s="5" t="s">
        <v>4398</v>
      </c>
      <c r="C208" s="6" t="s">
        <v>1420</v>
      </c>
      <c r="D208" t="s">
        <v>2408</v>
      </c>
      <c r="E208" s="5">
        <v>4</v>
      </c>
      <c r="F208" s="5">
        <v>229.1</v>
      </c>
      <c r="G208" s="6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5">
        <v>916.4</v>
      </c>
    </row>
    <row r="209" spans="1:14" x14ac:dyDescent="0.2">
      <c r="A209" t="s">
        <v>221</v>
      </c>
      <c r="B209" s="5" t="s">
        <v>4412</v>
      </c>
      <c r="C209" s="6" t="s">
        <v>1421</v>
      </c>
      <c r="D209" t="s">
        <v>2404</v>
      </c>
      <c r="E209" s="5">
        <v>1</v>
      </c>
      <c r="F209" s="5">
        <v>121.96</v>
      </c>
      <c r="G209" s="6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4299</v>
      </c>
      <c r="M209" t="s">
        <v>4282</v>
      </c>
      <c r="N209" s="5">
        <v>121.96</v>
      </c>
    </row>
    <row r="210" spans="1:14" x14ac:dyDescent="0.2">
      <c r="A210" t="s">
        <v>222</v>
      </c>
      <c r="B210" s="4">
        <v>45514</v>
      </c>
      <c r="C210" s="6" t="s">
        <v>1422</v>
      </c>
      <c r="D210" t="s">
        <v>2409</v>
      </c>
      <c r="E210" s="5">
        <v>2</v>
      </c>
      <c r="F210" s="5">
        <v>408.32</v>
      </c>
      <c r="G210" s="6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5">
        <v>816.64</v>
      </c>
    </row>
    <row r="211" spans="1:14" x14ac:dyDescent="0.2">
      <c r="A211" t="s">
        <v>223</v>
      </c>
      <c r="B211" s="5" t="s">
        <v>4413</v>
      </c>
      <c r="C211" s="6" t="s">
        <v>1423</v>
      </c>
      <c r="D211" t="s">
        <v>2405</v>
      </c>
      <c r="E211" s="5">
        <v>5</v>
      </c>
      <c r="F211" s="5">
        <v>187.97</v>
      </c>
      <c r="G211" s="6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5">
        <v>939.85</v>
      </c>
    </row>
    <row r="212" spans="1:14" x14ac:dyDescent="0.2">
      <c r="A212" t="s">
        <v>224</v>
      </c>
      <c r="B212" s="4">
        <v>45424</v>
      </c>
      <c r="C212" s="6" t="s">
        <v>1424</v>
      </c>
      <c r="D212" t="s">
        <v>2406</v>
      </c>
      <c r="E212" s="5">
        <v>3</v>
      </c>
      <c r="F212" s="5">
        <v>358.48</v>
      </c>
      <c r="G212" s="6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7">
        <v>1075.44</v>
      </c>
    </row>
    <row r="213" spans="1:14" x14ac:dyDescent="0.2">
      <c r="A213" t="s">
        <v>225</v>
      </c>
      <c r="B213" s="4">
        <v>45717</v>
      </c>
      <c r="C213" s="6" t="s">
        <v>1425</v>
      </c>
      <c r="D213" t="s">
        <v>2407</v>
      </c>
      <c r="E213" s="5">
        <v>3</v>
      </c>
      <c r="F213" s="5">
        <v>193.58</v>
      </c>
      <c r="G213" s="6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5">
        <v>580.74</v>
      </c>
    </row>
    <row r="214" spans="1:14" x14ac:dyDescent="0.2">
      <c r="A214" t="s">
        <v>226</v>
      </c>
      <c r="B214" s="5" t="s">
        <v>4414</v>
      </c>
      <c r="C214" s="6" t="s">
        <v>1426</v>
      </c>
      <c r="D214" t="s">
        <v>2403</v>
      </c>
      <c r="E214" s="5">
        <v>1</v>
      </c>
      <c r="F214" s="5">
        <v>265.38</v>
      </c>
      <c r="G214" s="6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5">
        <v>265.38</v>
      </c>
    </row>
    <row r="215" spans="1:14" x14ac:dyDescent="0.2">
      <c r="A215" t="s">
        <v>227</v>
      </c>
      <c r="B215" s="5" t="s">
        <v>4415</v>
      </c>
      <c r="C215" s="6" t="s">
        <v>1427</v>
      </c>
      <c r="D215" t="s">
        <v>2408</v>
      </c>
      <c r="E215" s="5">
        <v>1</v>
      </c>
      <c r="F215" s="5">
        <v>634.4</v>
      </c>
      <c r="G215" s="6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5">
        <v>634.4</v>
      </c>
    </row>
    <row r="216" spans="1:14" x14ac:dyDescent="0.2">
      <c r="A216" t="s">
        <v>228</v>
      </c>
      <c r="B216" s="5" t="s">
        <v>4335</v>
      </c>
      <c r="C216" s="6" t="s">
        <v>1428</v>
      </c>
      <c r="D216" t="s">
        <v>2409</v>
      </c>
      <c r="E216" s="5">
        <v>4</v>
      </c>
      <c r="F216" s="5">
        <v>305.72000000000003</v>
      </c>
      <c r="G216" s="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4299</v>
      </c>
      <c r="M216" t="s">
        <v>4281</v>
      </c>
      <c r="N216" s="7">
        <v>1222.8800000000001</v>
      </c>
    </row>
    <row r="217" spans="1:14" x14ac:dyDescent="0.2">
      <c r="A217" t="s">
        <v>229</v>
      </c>
      <c r="B217" s="4">
        <v>45207</v>
      </c>
      <c r="C217" s="6" t="s">
        <v>1429</v>
      </c>
      <c r="D217" t="s">
        <v>2407</v>
      </c>
      <c r="E217" s="5">
        <v>1</v>
      </c>
      <c r="F217" s="5">
        <v>303.60000000000002</v>
      </c>
      <c r="G217" s="6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5">
        <v>303.60000000000002</v>
      </c>
    </row>
    <row r="218" spans="1:14" x14ac:dyDescent="0.2">
      <c r="A218" t="s">
        <v>230</v>
      </c>
      <c r="B218" s="5" t="s">
        <v>4416</v>
      </c>
      <c r="C218" s="6" t="s">
        <v>1430</v>
      </c>
      <c r="D218" t="s">
        <v>2403</v>
      </c>
      <c r="E218" s="5">
        <v>4</v>
      </c>
      <c r="F218" s="5">
        <v>496</v>
      </c>
      <c r="G218" s="6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7">
        <v>1984</v>
      </c>
    </row>
    <row r="219" spans="1:14" x14ac:dyDescent="0.2">
      <c r="A219" t="s">
        <v>231</v>
      </c>
      <c r="B219" s="5" t="s">
        <v>4417</v>
      </c>
      <c r="C219" s="6" t="s">
        <v>1431</v>
      </c>
      <c r="D219" t="s">
        <v>2409</v>
      </c>
      <c r="E219" s="5">
        <v>4</v>
      </c>
      <c r="F219" s="5">
        <v>321.51</v>
      </c>
      <c r="G219" s="6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4299</v>
      </c>
      <c r="M219" t="s">
        <v>4282</v>
      </c>
      <c r="N219" s="7">
        <v>1286.04</v>
      </c>
    </row>
    <row r="220" spans="1:14" x14ac:dyDescent="0.2">
      <c r="A220" t="s">
        <v>232</v>
      </c>
      <c r="B220" s="5" t="s">
        <v>4418</v>
      </c>
      <c r="C220" s="6" t="s">
        <v>1432</v>
      </c>
      <c r="D220" t="s">
        <v>2405</v>
      </c>
      <c r="E220" s="5">
        <v>3</v>
      </c>
      <c r="F220" s="5">
        <v>112.46</v>
      </c>
      <c r="G220" s="6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5">
        <v>337.38</v>
      </c>
    </row>
    <row r="221" spans="1:14" x14ac:dyDescent="0.2">
      <c r="A221" t="s">
        <v>233</v>
      </c>
      <c r="B221" s="4">
        <v>45693</v>
      </c>
      <c r="C221" s="6" t="s">
        <v>1433</v>
      </c>
      <c r="D221" t="s">
        <v>2408</v>
      </c>
      <c r="E221" s="5">
        <v>5</v>
      </c>
      <c r="F221" s="5">
        <v>61.97</v>
      </c>
      <c r="G221" s="6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5">
        <v>309.85000000000002</v>
      </c>
    </row>
    <row r="222" spans="1:14" x14ac:dyDescent="0.2">
      <c r="A222" t="s">
        <v>234</v>
      </c>
      <c r="B222" s="5" t="s">
        <v>4419</v>
      </c>
      <c r="C222" s="6" t="s">
        <v>1434</v>
      </c>
      <c r="D222" t="s">
        <v>2408</v>
      </c>
      <c r="E222" s="5">
        <v>2</v>
      </c>
      <c r="F222" s="5">
        <v>373.17</v>
      </c>
      <c r="G222" s="6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5">
        <v>746.34</v>
      </c>
    </row>
    <row r="223" spans="1:14" x14ac:dyDescent="0.2">
      <c r="A223" t="s">
        <v>235</v>
      </c>
      <c r="B223" s="5" t="s">
        <v>4420</v>
      </c>
      <c r="C223" s="6" t="s">
        <v>1435</v>
      </c>
      <c r="D223" t="s">
        <v>2405</v>
      </c>
      <c r="E223" s="5">
        <v>5</v>
      </c>
      <c r="F223" s="5">
        <v>639.37</v>
      </c>
      <c r="G223" s="6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7">
        <v>3196.85</v>
      </c>
    </row>
    <row r="224" spans="1:14" x14ac:dyDescent="0.2">
      <c r="A224" t="s">
        <v>236</v>
      </c>
      <c r="B224" s="4">
        <v>45021</v>
      </c>
      <c r="C224" s="6" t="s">
        <v>1436</v>
      </c>
      <c r="D224" t="s">
        <v>2406</v>
      </c>
      <c r="E224" s="5">
        <v>4</v>
      </c>
      <c r="F224" s="5">
        <v>693.36</v>
      </c>
      <c r="G224" s="6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4299</v>
      </c>
      <c r="M224" t="s">
        <v>4278</v>
      </c>
      <c r="N224" s="7">
        <v>2773.44</v>
      </c>
    </row>
    <row r="225" spans="1:14" x14ac:dyDescent="0.2">
      <c r="A225" t="s">
        <v>237</v>
      </c>
      <c r="B225" s="4">
        <v>45605</v>
      </c>
      <c r="C225" s="6" t="s">
        <v>1437</v>
      </c>
      <c r="D225" t="s">
        <v>2404</v>
      </c>
      <c r="E225" s="5">
        <v>4</v>
      </c>
      <c r="F225" s="5">
        <v>692.91</v>
      </c>
      <c r="G225" s="6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7">
        <v>2771.64</v>
      </c>
    </row>
    <row r="226" spans="1:14" x14ac:dyDescent="0.2">
      <c r="A226" t="s">
        <v>238</v>
      </c>
      <c r="B226" s="5" t="s">
        <v>4421</v>
      </c>
      <c r="C226" s="6" t="s">
        <v>1438</v>
      </c>
      <c r="D226" t="s">
        <v>2407</v>
      </c>
      <c r="E226" s="5">
        <v>4</v>
      </c>
      <c r="F226" s="5">
        <v>91.46</v>
      </c>
      <c r="G226" s="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5">
        <v>365.84</v>
      </c>
    </row>
    <row r="227" spans="1:14" x14ac:dyDescent="0.2">
      <c r="A227" t="s">
        <v>239</v>
      </c>
      <c r="B227" s="5" t="s">
        <v>4422</v>
      </c>
      <c r="C227" s="6" t="s">
        <v>1439</v>
      </c>
      <c r="D227" t="s">
        <v>2404</v>
      </c>
      <c r="E227" s="5">
        <v>3</v>
      </c>
      <c r="F227" s="5">
        <v>273.95999999999998</v>
      </c>
      <c r="G227" s="6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5">
        <v>821.88</v>
      </c>
    </row>
    <row r="228" spans="1:14" x14ac:dyDescent="0.2">
      <c r="A228" t="s">
        <v>240</v>
      </c>
      <c r="B228" s="5" t="s">
        <v>4423</v>
      </c>
      <c r="C228" s="6" t="s">
        <v>1440</v>
      </c>
      <c r="D228" t="s">
        <v>2409</v>
      </c>
      <c r="E228" s="5">
        <v>3</v>
      </c>
      <c r="F228" s="5">
        <v>588.04999999999995</v>
      </c>
      <c r="G228" s="6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4299</v>
      </c>
      <c r="M228" t="s">
        <v>4278</v>
      </c>
      <c r="N228" s="7">
        <v>1764.15</v>
      </c>
    </row>
    <row r="229" spans="1:14" x14ac:dyDescent="0.2">
      <c r="A229" t="s">
        <v>241</v>
      </c>
      <c r="B229" s="4">
        <v>44968</v>
      </c>
      <c r="C229" s="6" t="s">
        <v>1441</v>
      </c>
      <c r="D229" t="s">
        <v>2403</v>
      </c>
      <c r="E229" s="5">
        <v>2</v>
      </c>
      <c r="F229" s="5">
        <v>365.17</v>
      </c>
      <c r="G229" s="6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5">
        <v>730.34</v>
      </c>
    </row>
    <row r="230" spans="1:14" x14ac:dyDescent="0.2">
      <c r="A230" t="s">
        <v>242</v>
      </c>
      <c r="B230" s="5" t="s">
        <v>4424</v>
      </c>
      <c r="C230" s="6" t="s">
        <v>1442</v>
      </c>
      <c r="D230" t="s">
        <v>2406</v>
      </c>
      <c r="E230" s="5">
        <v>4</v>
      </c>
      <c r="F230" s="5">
        <v>385.92</v>
      </c>
      <c r="G230" s="6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4299</v>
      </c>
      <c r="M230" t="s">
        <v>4278</v>
      </c>
      <c r="N230" s="7">
        <v>1543.68</v>
      </c>
    </row>
    <row r="231" spans="1:14" x14ac:dyDescent="0.2">
      <c r="A231" t="s">
        <v>243</v>
      </c>
      <c r="B231" s="5" t="s">
        <v>4425</v>
      </c>
      <c r="C231" s="6" t="s">
        <v>1443</v>
      </c>
      <c r="D231" t="s">
        <v>2405</v>
      </c>
      <c r="E231" s="5">
        <v>1</v>
      </c>
      <c r="F231" s="5">
        <v>562.61</v>
      </c>
      <c r="G231" s="6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5">
        <v>562.61</v>
      </c>
    </row>
    <row r="232" spans="1:14" x14ac:dyDescent="0.2">
      <c r="A232" t="s">
        <v>244</v>
      </c>
      <c r="B232" s="5" t="s">
        <v>4426</v>
      </c>
      <c r="C232" s="6" t="s">
        <v>1444</v>
      </c>
      <c r="D232" t="s">
        <v>2409</v>
      </c>
      <c r="E232" s="5">
        <v>4</v>
      </c>
      <c r="F232" s="5">
        <v>61.91</v>
      </c>
      <c r="G232" s="6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5">
        <v>247.64</v>
      </c>
    </row>
    <row r="233" spans="1:14" x14ac:dyDescent="0.2">
      <c r="A233" t="s">
        <v>245</v>
      </c>
      <c r="B233" s="4">
        <v>45057</v>
      </c>
      <c r="C233" s="6" t="s">
        <v>1445</v>
      </c>
      <c r="D233" t="s">
        <v>2404</v>
      </c>
      <c r="E233" s="5">
        <v>4</v>
      </c>
      <c r="F233" s="5">
        <v>41.9</v>
      </c>
      <c r="G233" s="6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5">
        <v>167.6</v>
      </c>
    </row>
    <row r="234" spans="1:14" x14ac:dyDescent="0.2">
      <c r="A234" t="s">
        <v>246</v>
      </c>
      <c r="B234" s="5" t="s">
        <v>4427</v>
      </c>
      <c r="C234" s="6" t="s">
        <v>1446</v>
      </c>
      <c r="D234" t="s">
        <v>2407</v>
      </c>
      <c r="E234" s="5">
        <v>4</v>
      </c>
      <c r="F234" s="5">
        <v>444.44</v>
      </c>
      <c r="G234" s="6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7">
        <v>1777.76</v>
      </c>
    </row>
    <row r="235" spans="1:14" x14ac:dyDescent="0.2">
      <c r="A235" t="s">
        <v>247</v>
      </c>
      <c r="B235" s="5" t="s">
        <v>4428</v>
      </c>
      <c r="C235" s="6" t="s">
        <v>1447</v>
      </c>
      <c r="D235" t="s">
        <v>2404</v>
      </c>
      <c r="E235" s="5">
        <v>3</v>
      </c>
      <c r="F235" s="5">
        <v>311.33</v>
      </c>
      <c r="G235" s="6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5">
        <v>933.99</v>
      </c>
    </row>
    <row r="236" spans="1:14" x14ac:dyDescent="0.2">
      <c r="A236" t="s">
        <v>248</v>
      </c>
      <c r="B236" s="5" t="s">
        <v>4377</v>
      </c>
      <c r="C236" s="6" t="s">
        <v>1448</v>
      </c>
      <c r="D236" t="s">
        <v>2407</v>
      </c>
      <c r="E236" s="5">
        <v>4</v>
      </c>
      <c r="F236" s="5">
        <v>236.41</v>
      </c>
      <c r="G236" s="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5">
        <v>945.64</v>
      </c>
    </row>
    <row r="237" spans="1:14" x14ac:dyDescent="0.2">
      <c r="A237" t="s">
        <v>249</v>
      </c>
      <c r="B237" s="5" t="s">
        <v>4429</v>
      </c>
      <c r="C237" s="6" t="s">
        <v>1449</v>
      </c>
      <c r="D237" t="s">
        <v>2409</v>
      </c>
      <c r="E237" s="5">
        <v>1</v>
      </c>
      <c r="F237" s="5">
        <v>65.45</v>
      </c>
      <c r="G237" s="6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5">
        <v>65.45</v>
      </c>
    </row>
    <row r="238" spans="1:14" x14ac:dyDescent="0.2">
      <c r="A238" t="s">
        <v>250</v>
      </c>
      <c r="B238" s="4">
        <v>44927</v>
      </c>
      <c r="C238" s="6" t="s">
        <v>1450</v>
      </c>
      <c r="D238" t="s">
        <v>2403</v>
      </c>
      <c r="E238" s="5">
        <v>1</v>
      </c>
      <c r="F238" s="5">
        <v>318.81</v>
      </c>
      <c r="G238" s="6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5">
        <v>318.81</v>
      </c>
    </row>
    <row r="239" spans="1:14" x14ac:dyDescent="0.2">
      <c r="A239" t="s">
        <v>251</v>
      </c>
      <c r="B239" s="5" t="s">
        <v>4430</v>
      </c>
      <c r="C239" s="6" t="s">
        <v>1451</v>
      </c>
      <c r="D239" t="s">
        <v>2403</v>
      </c>
      <c r="E239" s="5">
        <v>3</v>
      </c>
      <c r="F239" s="5">
        <v>583.72</v>
      </c>
      <c r="G239" s="6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7">
        <v>1751.16</v>
      </c>
    </row>
    <row r="240" spans="1:14" x14ac:dyDescent="0.2">
      <c r="A240" t="s">
        <v>252</v>
      </c>
      <c r="B240" s="5" t="s">
        <v>4431</v>
      </c>
      <c r="C240" s="6" t="s">
        <v>1452</v>
      </c>
      <c r="D240" t="s">
        <v>2409</v>
      </c>
      <c r="E240" s="5">
        <v>4</v>
      </c>
      <c r="F240" s="5">
        <v>384.32</v>
      </c>
      <c r="G240" s="6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7">
        <v>1537.28</v>
      </c>
    </row>
    <row r="241" spans="1:14" x14ac:dyDescent="0.2">
      <c r="A241" t="s">
        <v>253</v>
      </c>
      <c r="B241" s="4">
        <v>45608</v>
      </c>
      <c r="C241" s="6" t="s">
        <v>1453</v>
      </c>
      <c r="D241" t="s">
        <v>2405</v>
      </c>
      <c r="E241" s="5">
        <v>3</v>
      </c>
      <c r="F241" s="5">
        <v>538.74</v>
      </c>
      <c r="G241" s="6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7">
        <v>1616.22</v>
      </c>
    </row>
    <row r="242" spans="1:14" x14ac:dyDescent="0.2">
      <c r="A242" t="s">
        <v>254</v>
      </c>
      <c r="B242" s="4">
        <v>45267</v>
      </c>
      <c r="C242" s="6" t="s">
        <v>1454</v>
      </c>
      <c r="D242" t="s">
        <v>2405</v>
      </c>
      <c r="E242" s="5">
        <v>1</v>
      </c>
      <c r="F242" s="5">
        <v>17.239999999999998</v>
      </c>
      <c r="G242" s="6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5">
        <v>17.239999999999998</v>
      </c>
    </row>
    <row r="243" spans="1:14" x14ac:dyDescent="0.2">
      <c r="A243" t="s">
        <v>255</v>
      </c>
      <c r="B243" s="5" t="s">
        <v>4432</v>
      </c>
      <c r="C243" s="6" t="s">
        <v>1455</v>
      </c>
      <c r="D243" t="s">
        <v>2406</v>
      </c>
      <c r="E243" s="5">
        <v>5</v>
      </c>
      <c r="F243" s="5">
        <v>615.66999999999996</v>
      </c>
      <c r="G243" s="6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7">
        <v>3078.35</v>
      </c>
    </row>
    <row r="244" spans="1:14" x14ac:dyDescent="0.2">
      <c r="A244" t="s">
        <v>256</v>
      </c>
      <c r="B244" s="4">
        <v>45174</v>
      </c>
      <c r="C244" s="6" t="s">
        <v>1456</v>
      </c>
      <c r="D244" t="s">
        <v>2407</v>
      </c>
      <c r="E244" s="5">
        <v>2</v>
      </c>
      <c r="F244" s="5">
        <v>219.1</v>
      </c>
      <c r="G244" s="6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5">
        <v>438.2</v>
      </c>
    </row>
    <row r="245" spans="1:14" x14ac:dyDescent="0.2">
      <c r="A245" t="s">
        <v>257</v>
      </c>
      <c r="B245" s="4">
        <v>45905</v>
      </c>
      <c r="C245" s="6" t="s">
        <v>1457</v>
      </c>
      <c r="D245" t="s">
        <v>2406</v>
      </c>
      <c r="E245" s="5">
        <v>2</v>
      </c>
      <c r="F245" s="5">
        <v>144.66</v>
      </c>
      <c r="G245" s="6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5">
        <v>289.32</v>
      </c>
    </row>
    <row r="246" spans="1:14" x14ac:dyDescent="0.2">
      <c r="A246" t="s">
        <v>258</v>
      </c>
      <c r="B246" s="5" t="s">
        <v>4433</v>
      </c>
      <c r="C246" s="6" t="s">
        <v>1458</v>
      </c>
      <c r="D246" t="s">
        <v>2409</v>
      </c>
      <c r="E246" s="5">
        <v>2</v>
      </c>
      <c r="F246" s="5">
        <v>317.77</v>
      </c>
      <c r="G246" s="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5">
        <v>635.54</v>
      </c>
    </row>
    <row r="247" spans="1:14" x14ac:dyDescent="0.2">
      <c r="A247" t="s">
        <v>259</v>
      </c>
      <c r="B247" s="5" t="s">
        <v>4434</v>
      </c>
      <c r="C247" s="6" t="s">
        <v>1459</v>
      </c>
      <c r="D247" t="s">
        <v>2408</v>
      </c>
      <c r="E247" s="5">
        <v>1</v>
      </c>
      <c r="F247" s="5">
        <v>223.3</v>
      </c>
      <c r="G247" s="6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4299</v>
      </c>
      <c r="M247" t="s">
        <v>4281</v>
      </c>
      <c r="N247" s="5">
        <v>223.3</v>
      </c>
    </row>
    <row r="248" spans="1:14" x14ac:dyDescent="0.2">
      <c r="A248" t="s">
        <v>260</v>
      </c>
      <c r="B248" s="5" t="s">
        <v>4435</v>
      </c>
      <c r="C248" s="6" t="s">
        <v>1460</v>
      </c>
      <c r="D248" t="s">
        <v>2409</v>
      </c>
      <c r="E248" s="5">
        <v>2</v>
      </c>
      <c r="F248" s="5">
        <v>342.11</v>
      </c>
      <c r="G248" s="6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5">
        <v>684.22</v>
      </c>
    </row>
    <row r="249" spans="1:14" x14ac:dyDescent="0.2">
      <c r="A249" t="s">
        <v>261</v>
      </c>
      <c r="B249" s="5" t="s">
        <v>4387</v>
      </c>
      <c r="C249" s="6" t="s">
        <v>1461</v>
      </c>
      <c r="D249" t="s">
        <v>2407</v>
      </c>
      <c r="E249" s="5">
        <v>2</v>
      </c>
      <c r="F249" s="5">
        <v>220.9</v>
      </c>
      <c r="G249" s="6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4299</v>
      </c>
      <c r="M249" t="s">
        <v>4280</v>
      </c>
      <c r="N249" s="5">
        <v>441.8</v>
      </c>
    </row>
    <row r="250" spans="1:14" x14ac:dyDescent="0.2">
      <c r="A250" t="s">
        <v>262</v>
      </c>
      <c r="B250" s="4">
        <v>44964</v>
      </c>
      <c r="C250" s="6" t="s">
        <v>1462</v>
      </c>
      <c r="D250" t="s">
        <v>2408</v>
      </c>
      <c r="E250" s="5">
        <v>1</v>
      </c>
      <c r="F250" s="5">
        <v>670.54</v>
      </c>
      <c r="G250" s="6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5">
        <v>670.54</v>
      </c>
    </row>
    <row r="251" spans="1:14" x14ac:dyDescent="0.2">
      <c r="A251" t="s">
        <v>263</v>
      </c>
      <c r="B251" s="4">
        <v>45475</v>
      </c>
      <c r="C251" s="6" t="s">
        <v>1463</v>
      </c>
      <c r="D251" t="s">
        <v>2407</v>
      </c>
      <c r="E251" s="5">
        <v>1</v>
      </c>
      <c r="F251" s="5">
        <v>546.19000000000005</v>
      </c>
      <c r="G251" s="6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5">
        <v>546.19000000000005</v>
      </c>
    </row>
    <row r="252" spans="1:14" x14ac:dyDescent="0.2">
      <c r="A252" t="s">
        <v>264</v>
      </c>
      <c r="B252" s="4">
        <v>45050</v>
      </c>
      <c r="C252" s="6" t="s">
        <v>1464</v>
      </c>
      <c r="D252" t="s">
        <v>2409</v>
      </c>
      <c r="E252" s="5">
        <v>3</v>
      </c>
      <c r="F252" s="5">
        <v>42.95</v>
      </c>
      <c r="G252" s="6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5">
        <v>128.85</v>
      </c>
    </row>
    <row r="253" spans="1:14" x14ac:dyDescent="0.2">
      <c r="A253" t="s">
        <v>265</v>
      </c>
      <c r="B253" s="5" t="s">
        <v>4436</v>
      </c>
      <c r="C253" s="6" t="s">
        <v>1465</v>
      </c>
      <c r="D253" t="s">
        <v>2403</v>
      </c>
      <c r="E253" s="5">
        <v>4</v>
      </c>
      <c r="F253" s="5">
        <v>14.69</v>
      </c>
      <c r="G253" s="6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4299</v>
      </c>
      <c r="M253" t="s">
        <v>4280</v>
      </c>
      <c r="N253" s="5">
        <v>58.76</v>
      </c>
    </row>
    <row r="254" spans="1:14" x14ac:dyDescent="0.2">
      <c r="A254" t="s">
        <v>266</v>
      </c>
      <c r="B254" s="5" t="s">
        <v>4315</v>
      </c>
      <c r="C254" s="6" t="s">
        <v>1466</v>
      </c>
      <c r="D254" t="s">
        <v>2404</v>
      </c>
      <c r="E254" s="5">
        <v>4</v>
      </c>
      <c r="F254" s="5">
        <v>668.36</v>
      </c>
      <c r="G254" s="6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7">
        <v>2673.44</v>
      </c>
    </row>
    <row r="255" spans="1:14" x14ac:dyDescent="0.2">
      <c r="A255" t="s">
        <v>267</v>
      </c>
      <c r="B255" s="5" t="s">
        <v>4437</v>
      </c>
      <c r="C255" s="6" t="s">
        <v>1467</v>
      </c>
      <c r="D255" t="s">
        <v>2406</v>
      </c>
      <c r="E255" s="5">
        <v>4</v>
      </c>
      <c r="F255" s="5">
        <v>413.74</v>
      </c>
      <c r="G255" s="6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7">
        <v>1654.96</v>
      </c>
    </row>
    <row r="256" spans="1:14" x14ac:dyDescent="0.2">
      <c r="A256" t="s">
        <v>268</v>
      </c>
      <c r="B256" s="5" t="s">
        <v>4438</v>
      </c>
      <c r="C256" s="6" t="s">
        <v>1468</v>
      </c>
      <c r="D256" t="s">
        <v>2403</v>
      </c>
      <c r="E256" s="5">
        <v>3</v>
      </c>
      <c r="F256" s="5">
        <v>263.19</v>
      </c>
      <c r="G256" s="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4299</v>
      </c>
      <c r="M256" t="s">
        <v>4278</v>
      </c>
      <c r="N256" s="5">
        <v>789.57</v>
      </c>
    </row>
    <row r="257" spans="1:14" x14ac:dyDescent="0.2">
      <c r="A257" t="s">
        <v>269</v>
      </c>
      <c r="B257" s="5" t="s">
        <v>4439</v>
      </c>
      <c r="C257" s="6" t="s">
        <v>1469</v>
      </c>
      <c r="D257" t="s">
        <v>2403</v>
      </c>
      <c r="E257" s="5">
        <v>1</v>
      </c>
      <c r="F257" s="5">
        <v>263.95999999999998</v>
      </c>
      <c r="G257" s="6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5">
        <v>263.95999999999998</v>
      </c>
    </row>
    <row r="258" spans="1:14" x14ac:dyDescent="0.2">
      <c r="A258" t="s">
        <v>270</v>
      </c>
      <c r="B258" s="5" t="s">
        <v>4440</v>
      </c>
      <c r="C258" s="6" t="s">
        <v>1470</v>
      </c>
      <c r="D258" t="s">
        <v>2406</v>
      </c>
      <c r="E258" s="5">
        <v>5</v>
      </c>
      <c r="F258" s="5">
        <v>75.81</v>
      </c>
      <c r="G258" s="6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5">
        <v>379.05</v>
      </c>
    </row>
    <row r="259" spans="1:14" x14ac:dyDescent="0.2">
      <c r="A259" t="s">
        <v>271</v>
      </c>
      <c r="B259" s="5" t="s">
        <v>4441</v>
      </c>
      <c r="C259" s="6" t="s">
        <v>1471</v>
      </c>
      <c r="D259" t="s">
        <v>2404</v>
      </c>
      <c r="E259" s="5">
        <v>1</v>
      </c>
      <c r="F259" s="5">
        <v>406.22</v>
      </c>
      <c r="G259" s="6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5">
        <v>406.22</v>
      </c>
    </row>
    <row r="260" spans="1:14" x14ac:dyDescent="0.2">
      <c r="A260" t="s">
        <v>272</v>
      </c>
      <c r="B260" s="5" t="s">
        <v>4442</v>
      </c>
      <c r="C260" s="6" t="s">
        <v>1472</v>
      </c>
      <c r="D260" t="s">
        <v>2405</v>
      </c>
      <c r="E260" s="5">
        <v>2</v>
      </c>
      <c r="F260" s="5">
        <v>103.41</v>
      </c>
      <c r="G260" s="6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5">
        <v>206.82</v>
      </c>
    </row>
    <row r="261" spans="1:14" x14ac:dyDescent="0.2">
      <c r="A261" t="s">
        <v>273</v>
      </c>
      <c r="B261" s="4">
        <v>45236</v>
      </c>
      <c r="C261" s="6" t="s">
        <v>1473</v>
      </c>
      <c r="D261" t="s">
        <v>2406</v>
      </c>
      <c r="E261" s="5">
        <v>4</v>
      </c>
      <c r="F261" s="5">
        <v>435.12</v>
      </c>
      <c r="G261" s="6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7">
        <v>1740.48</v>
      </c>
    </row>
    <row r="262" spans="1:14" x14ac:dyDescent="0.2">
      <c r="A262" t="s">
        <v>274</v>
      </c>
      <c r="B262" s="5" t="s">
        <v>4424</v>
      </c>
      <c r="C262" s="6" t="s">
        <v>1474</v>
      </c>
      <c r="D262" t="s">
        <v>2403</v>
      </c>
      <c r="E262" s="5">
        <v>2</v>
      </c>
      <c r="F262" s="5">
        <v>407.79</v>
      </c>
      <c r="G262" s="6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4299</v>
      </c>
      <c r="M262" t="s">
        <v>4282</v>
      </c>
      <c r="N262" s="5">
        <v>815.58</v>
      </c>
    </row>
    <row r="263" spans="1:14" x14ac:dyDescent="0.2">
      <c r="A263" t="s">
        <v>275</v>
      </c>
      <c r="B263" s="5" t="s">
        <v>4443</v>
      </c>
      <c r="C263" s="6" t="s">
        <v>1475</v>
      </c>
      <c r="D263" t="s">
        <v>2404</v>
      </c>
      <c r="E263" s="5">
        <v>5</v>
      </c>
      <c r="F263" s="5">
        <v>173.65</v>
      </c>
      <c r="G263" s="6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5">
        <v>868.25</v>
      </c>
    </row>
    <row r="264" spans="1:14" x14ac:dyDescent="0.2">
      <c r="A264" t="s">
        <v>276</v>
      </c>
      <c r="B264" s="4">
        <v>45200</v>
      </c>
      <c r="C264" s="6" t="s">
        <v>1476</v>
      </c>
      <c r="D264" t="s">
        <v>2404</v>
      </c>
      <c r="E264" s="5">
        <v>4</v>
      </c>
      <c r="F264" s="5">
        <v>249.07</v>
      </c>
      <c r="G264" s="6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5">
        <v>996.28</v>
      </c>
    </row>
    <row r="265" spans="1:14" x14ac:dyDescent="0.2">
      <c r="A265" t="s">
        <v>277</v>
      </c>
      <c r="B265" s="5" t="s">
        <v>4444</v>
      </c>
      <c r="C265" s="6" t="s">
        <v>1477</v>
      </c>
      <c r="D265" t="s">
        <v>2404</v>
      </c>
      <c r="E265" s="5">
        <v>4</v>
      </c>
      <c r="F265" s="5">
        <v>434.85</v>
      </c>
      <c r="G265" s="6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7">
        <v>1739.4</v>
      </c>
    </row>
    <row r="266" spans="1:14" x14ac:dyDescent="0.2">
      <c r="A266" t="s">
        <v>278</v>
      </c>
      <c r="B266" s="4">
        <v>45359</v>
      </c>
      <c r="C266" s="6" t="s">
        <v>1478</v>
      </c>
      <c r="D266" t="s">
        <v>2405</v>
      </c>
      <c r="E266" s="5">
        <v>1</v>
      </c>
      <c r="F266" s="5">
        <v>436.77</v>
      </c>
      <c r="G266" s="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5">
        <v>436.77</v>
      </c>
    </row>
    <row r="267" spans="1:14" x14ac:dyDescent="0.2">
      <c r="A267" t="s">
        <v>279</v>
      </c>
      <c r="B267" s="5" t="s">
        <v>4445</v>
      </c>
      <c r="C267" s="6" t="s">
        <v>1479</v>
      </c>
      <c r="D267" t="s">
        <v>2407</v>
      </c>
      <c r="E267" s="5">
        <v>1</v>
      </c>
      <c r="F267" s="5">
        <v>572.13</v>
      </c>
      <c r="G267" s="6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5">
        <v>572.13</v>
      </c>
    </row>
    <row r="268" spans="1:14" x14ac:dyDescent="0.2">
      <c r="A268" t="s">
        <v>280</v>
      </c>
      <c r="B268" s="4">
        <v>45510</v>
      </c>
      <c r="C268" s="6" t="s">
        <v>1480</v>
      </c>
      <c r="D268" t="s">
        <v>2406</v>
      </c>
      <c r="E268" s="5">
        <v>4</v>
      </c>
      <c r="F268" s="5">
        <v>583.07000000000005</v>
      </c>
      <c r="G268" s="6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7">
        <v>2332.2800000000002</v>
      </c>
    </row>
    <row r="269" spans="1:14" x14ac:dyDescent="0.2">
      <c r="A269" t="s">
        <v>281</v>
      </c>
      <c r="B269" s="5" t="s">
        <v>4446</v>
      </c>
      <c r="C269" s="6" t="s">
        <v>1481</v>
      </c>
      <c r="D269" t="s">
        <v>2406</v>
      </c>
      <c r="E269" s="5">
        <v>5</v>
      </c>
      <c r="F269" s="5">
        <v>468.51</v>
      </c>
      <c r="G269" s="6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4299</v>
      </c>
      <c r="M269" t="s">
        <v>4281</v>
      </c>
      <c r="N269" s="7">
        <v>2342.5500000000002</v>
      </c>
    </row>
    <row r="270" spans="1:14" x14ac:dyDescent="0.2">
      <c r="A270" t="s">
        <v>282</v>
      </c>
      <c r="B270" s="4">
        <v>45238</v>
      </c>
      <c r="C270" s="6" t="s">
        <v>1482</v>
      </c>
      <c r="D270" t="s">
        <v>2404</v>
      </c>
      <c r="E270" s="5">
        <v>2</v>
      </c>
      <c r="F270" s="5">
        <v>423.88</v>
      </c>
      <c r="G270" s="6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5">
        <v>847.76</v>
      </c>
    </row>
    <row r="271" spans="1:14" x14ac:dyDescent="0.2">
      <c r="A271" t="s">
        <v>283</v>
      </c>
      <c r="B271" s="5" t="s">
        <v>4357</v>
      </c>
      <c r="C271" s="6" t="s">
        <v>1483</v>
      </c>
      <c r="D271" t="s">
        <v>2405</v>
      </c>
      <c r="E271" s="5">
        <v>4</v>
      </c>
      <c r="F271" s="5">
        <v>663.67</v>
      </c>
      <c r="G271" s="6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7">
        <v>2654.68</v>
      </c>
    </row>
    <row r="272" spans="1:14" x14ac:dyDescent="0.2">
      <c r="A272" t="s">
        <v>284</v>
      </c>
      <c r="B272" s="4">
        <v>45022</v>
      </c>
      <c r="C272" s="6" t="s">
        <v>1484</v>
      </c>
      <c r="D272" t="s">
        <v>2407</v>
      </c>
      <c r="E272" s="5">
        <v>4</v>
      </c>
      <c r="F272" s="5">
        <v>309.91000000000003</v>
      </c>
      <c r="G272" s="6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7">
        <v>1239.6400000000001</v>
      </c>
    </row>
    <row r="273" spans="1:14" x14ac:dyDescent="0.2">
      <c r="A273" t="s">
        <v>285</v>
      </c>
      <c r="B273" s="5" t="s">
        <v>4373</v>
      </c>
      <c r="C273" s="6" t="s">
        <v>1485</v>
      </c>
      <c r="D273" t="s">
        <v>2403</v>
      </c>
      <c r="E273" s="5">
        <v>1</v>
      </c>
      <c r="F273" s="5">
        <v>542.07000000000005</v>
      </c>
      <c r="G273" s="6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5">
        <v>542.07000000000005</v>
      </c>
    </row>
    <row r="274" spans="1:14" x14ac:dyDescent="0.2">
      <c r="A274" t="s">
        <v>286</v>
      </c>
      <c r="B274" s="5" t="s">
        <v>4447</v>
      </c>
      <c r="C274" s="6" t="s">
        <v>1486</v>
      </c>
      <c r="D274" t="s">
        <v>2406</v>
      </c>
      <c r="E274" s="5">
        <v>2</v>
      </c>
      <c r="F274" s="5">
        <v>399.32</v>
      </c>
      <c r="G274" s="6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5">
        <v>798.64</v>
      </c>
    </row>
    <row r="275" spans="1:14" x14ac:dyDescent="0.2">
      <c r="A275" t="s">
        <v>287</v>
      </c>
      <c r="B275" s="5" t="s">
        <v>4448</v>
      </c>
      <c r="C275" s="6" t="s">
        <v>1487</v>
      </c>
      <c r="D275" t="s">
        <v>2405</v>
      </c>
      <c r="E275" s="5">
        <v>2</v>
      </c>
      <c r="F275" s="5">
        <v>238.25</v>
      </c>
      <c r="G275" s="6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5">
        <v>476.5</v>
      </c>
    </row>
    <row r="276" spans="1:14" x14ac:dyDescent="0.2">
      <c r="A276" t="s">
        <v>288</v>
      </c>
      <c r="B276" s="4">
        <v>45018</v>
      </c>
      <c r="C276" s="6" t="s">
        <v>1488</v>
      </c>
      <c r="D276" t="s">
        <v>2404</v>
      </c>
      <c r="E276" s="5">
        <v>2</v>
      </c>
      <c r="F276" s="5">
        <v>182.4</v>
      </c>
      <c r="G276" s="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5">
        <v>364.8</v>
      </c>
    </row>
    <row r="277" spans="1:14" x14ac:dyDescent="0.2">
      <c r="A277" t="s">
        <v>289</v>
      </c>
      <c r="B277" s="4">
        <v>45027</v>
      </c>
      <c r="C277" s="6" t="s">
        <v>1489</v>
      </c>
      <c r="D277" t="s">
        <v>2406</v>
      </c>
      <c r="E277" s="5">
        <v>2</v>
      </c>
      <c r="F277" s="5">
        <v>65.069999999999993</v>
      </c>
      <c r="G277" s="6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5">
        <v>130.13999999999999</v>
      </c>
    </row>
    <row r="278" spans="1:14" x14ac:dyDescent="0.2">
      <c r="A278" t="s">
        <v>290</v>
      </c>
      <c r="B278" s="5" t="s">
        <v>4449</v>
      </c>
      <c r="C278" s="6" t="s">
        <v>1490</v>
      </c>
      <c r="D278" t="s">
        <v>2407</v>
      </c>
      <c r="E278" s="5">
        <v>2</v>
      </c>
      <c r="F278" s="5">
        <v>600.57000000000005</v>
      </c>
      <c r="G278" s="6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7">
        <v>1201.1400000000001</v>
      </c>
    </row>
    <row r="279" spans="1:14" x14ac:dyDescent="0.2">
      <c r="A279" t="s">
        <v>291</v>
      </c>
      <c r="B279" s="4">
        <v>45544</v>
      </c>
      <c r="C279" s="6" t="s">
        <v>1491</v>
      </c>
      <c r="D279" t="s">
        <v>2406</v>
      </c>
      <c r="E279" s="5">
        <v>5</v>
      </c>
      <c r="F279" s="5">
        <v>90.92</v>
      </c>
      <c r="G279" s="6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5">
        <v>454.6</v>
      </c>
    </row>
    <row r="280" spans="1:14" x14ac:dyDescent="0.2">
      <c r="A280" t="s">
        <v>292</v>
      </c>
      <c r="B280" s="5" t="s">
        <v>4450</v>
      </c>
      <c r="C280" s="6" t="s">
        <v>1492</v>
      </c>
      <c r="D280" t="s">
        <v>2408</v>
      </c>
      <c r="E280" s="5">
        <v>5</v>
      </c>
      <c r="F280" s="5">
        <v>362.46</v>
      </c>
      <c r="G280" s="6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7">
        <v>1812.3</v>
      </c>
    </row>
    <row r="281" spans="1:14" x14ac:dyDescent="0.2">
      <c r="A281" t="s">
        <v>293</v>
      </c>
      <c r="B281" s="5" t="s">
        <v>4451</v>
      </c>
      <c r="C281" s="6" t="s">
        <v>1493</v>
      </c>
      <c r="D281" t="s">
        <v>2406</v>
      </c>
      <c r="E281" s="5">
        <v>3</v>
      </c>
      <c r="F281" s="5">
        <v>55.01</v>
      </c>
      <c r="G281" s="6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5">
        <v>165.03</v>
      </c>
    </row>
    <row r="282" spans="1:14" x14ac:dyDescent="0.2">
      <c r="A282" t="s">
        <v>294</v>
      </c>
      <c r="B282" s="5" t="s">
        <v>4305</v>
      </c>
      <c r="C282" s="6" t="s">
        <v>1494</v>
      </c>
      <c r="D282" t="s">
        <v>2405</v>
      </c>
      <c r="E282" s="5">
        <v>3</v>
      </c>
      <c r="F282" s="5">
        <v>404.62</v>
      </c>
      <c r="G282" s="6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7">
        <v>1213.8599999999999</v>
      </c>
    </row>
    <row r="283" spans="1:14" x14ac:dyDescent="0.2">
      <c r="A283" t="s">
        <v>295</v>
      </c>
      <c r="B283" s="5" t="s">
        <v>4393</v>
      </c>
      <c r="C283" s="6" t="s">
        <v>1495</v>
      </c>
      <c r="D283" t="s">
        <v>2409</v>
      </c>
      <c r="E283" s="5">
        <v>4</v>
      </c>
      <c r="F283" s="5">
        <v>654.79</v>
      </c>
      <c r="G283" s="6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4299</v>
      </c>
      <c r="M283" t="s">
        <v>4279</v>
      </c>
      <c r="N283" s="7">
        <v>2619.16</v>
      </c>
    </row>
    <row r="284" spans="1:14" x14ac:dyDescent="0.2">
      <c r="A284" t="s">
        <v>296</v>
      </c>
      <c r="B284" s="5" t="s">
        <v>4452</v>
      </c>
      <c r="C284" s="6" t="s">
        <v>1496</v>
      </c>
      <c r="D284" t="s">
        <v>2407</v>
      </c>
      <c r="E284" s="5">
        <v>4</v>
      </c>
      <c r="F284" s="5">
        <v>637.79</v>
      </c>
      <c r="G284" s="6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7">
        <v>2551.16</v>
      </c>
    </row>
    <row r="285" spans="1:14" x14ac:dyDescent="0.2">
      <c r="A285" t="s">
        <v>297</v>
      </c>
      <c r="B285" s="5" t="s">
        <v>4453</v>
      </c>
      <c r="C285" s="6" t="s">
        <v>1497</v>
      </c>
      <c r="D285" t="s">
        <v>2408</v>
      </c>
      <c r="E285" s="5">
        <v>4</v>
      </c>
      <c r="F285" s="5">
        <v>540.33000000000004</v>
      </c>
      <c r="G285" s="6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4299</v>
      </c>
      <c r="M285" t="s">
        <v>4282</v>
      </c>
      <c r="N285" s="7">
        <v>2161.3200000000002</v>
      </c>
    </row>
    <row r="286" spans="1:14" x14ac:dyDescent="0.2">
      <c r="A286" t="s">
        <v>298</v>
      </c>
      <c r="B286" s="5" t="s">
        <v>4433</v>
      </c>
      <c r="C286" s="6" t="s">
        <v>1498</v>
      </c>
      <c r="D286" t="s">
        <v>2408</v>
      </c>
      <c r="E286" s="5">
        <v>5</v>
      </c>
      <c r="F286" s="5">
        <v>208.17</v>
      </c>
      <c r="G286" s="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7">
        <v>1040.8499999999999</v>
      </c>
    </row>
    <row r="287" spans="1:14" x14ac:dyDescent="0.2">
      <c r="A287" t="s">
        <v>299</v>
      </c>
      <c r="B287" s="4">
        <v>45936</v>
      </c>
      <c r="C287" s="6" t="s">
        <v>1499</v>
      </c>
      <c r="D287" t="s">
        <v>2404</v>
      </c>
      <c r="E287" s="5">
        <v>1</v>
      </c>
      <c r="F287" s="5">
        <v>338.31</v>
      </c>
      <c r="G287" s="6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4299</v>
      </c>
      <c r="M287" t="s">
        <v>4282</v>
      </c>
      <c r="N287" s="5">
        <v>338.31</v>
      </c>
    </row>
    <row r="288" spans="1:14" x14ac:dyDescent="0.2">
      <c r="A288" t="s">
        <v>300</v>
      </c>
      <c r="B288" s="4">
        <v>45842</v>
      </c>
      <c r="C288" s="6" t="s">
        <v>1500</v>
      </c>
      <c r="D288" t="s">
        <v>2403</v>
      </c>
      <c r="E288" s="5">
        <v>3</v>
      </c>
      <c r="F288" s="5">
        <v>139.44999999999999</v>
      </c>
      <c r="G288" s="6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5">
        <v>418.35</v>
      </c>
    </row>
    <row r="289" spans="1:14" x14ac:dyDescent="0.2">
      <c r="A289" t="s">
        <v>301</v>
      </c>
      <c r="B289" s="5" t="s">
        <v>4454</v>
      </c>
      <c r="C289" s="6" t="s">
        <v>1501</v>
      </c>
      <c r="D289" t="s">
        <v>2406</v>
      </c>
      <c r="E289" s="5">
        <v>4</v>
      </c>
      <c r="F289" s="5">
        <v>655.17999999999995</v>
      </c>
      <c r="G289" s="6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4299</v>
      </c>
      <c r="M289" t="s">
        <v>4281</v>
      </c>
      <c r="N289" s="7">
        <v>2620.7199999999998</v>
      </c>
    </row>
    <row r="290" spans="1:14" x14ac:dyDescent="0.2">
      <c r="A290" t="s">
        <v>302</v>
      </c>
      <c r="B290" s="4">
        <v>45263</v>
      </c>
      <c r="C290" s="6" t="s">
        <v>1502</v>
      </c>
      <c r="D290" t="s">
        <v>2408</v>
      </c>
      <c r="E290" s="5">
        <v>4</v>
      </c>
      <c r="F290" s="5">
        <v>512.75</v>
      </c>
      <c r="G290" s="6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7">
        <v>2051</v>
      </c>
    </row>
    <row r="291" spans="1:14" x14ac:dyDescent="0.2">
      <c r="A291" t="s">
        <v>303</v>
      </c>
      <c r="B291" s="5" t="s">
        <v>4455</v>
      </c>
      <c r="C291" s="6" t="s">
        <v>1503</v>
      </c>
      <c r="D291" t="s">
        <v>2406</v>
      </c>
      <c r="E291" s="5">
        <v>4</v>
      </c>
      <c r="F291" s="5">
        <v>160.49</v>
      </c>
      <c r="G291" s="6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5">
        <v>641.96</v>
      </c>
    </row>
    <row r="292" spans="1:14" x14ac:dyDescent="0.2">
      <c r="A292" t="s">
        <v>304</v>
      </c>
      <c r="B292" s="4">
        <v>45051</v>
      </c>
      <c r="C292" s="6" t="s">
        <v>1504</v>
      </c>
      <c r="D292" t="s">
        <v>2406</v>
      </c>
      <c r="E292" s="5">
        <v>3</v>
      </c>
      <c r="F292" s="5">
        <v>99.9</v>
      </c>
      <c r="G292" s="6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5">
        <v>299.7</v>
      </c>
    </row>
    <row r="293" spans="1:14" x14ac:dyDescent="0.2">
      <c r="A293" t="s">
        <v>305</v>
      </c>
      <c r="B293" s="4">
        <v>45631</v>
      </c>
      <c r="C293" s="6" t="s">
        <v>1505</v>
      </c>
      <c r="D293" t="s">
        <v>2404</v>
      </c>
      <c r="E293" s="5">
        <v>2</v>
      </c>
      <c r="F293" s="5">
        <v>345.01</v>
      </c>
      <c r="G293" s="6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5">
        <v>690.02</v>
      </c>
    </row>
    <row r="294" spans="1:14" x14ac:dyDescent="0.2">
      <c r="A294" t="s">
        <v>306</v>
      </c>
      <c r="B294" s="5" t="s">
        <v>4456</v>
      </c>
      <c r="C294" s="6" t="s">
        <v>1506</v>
      </c>
      <c r="D294" t="s">
        <v>2403</v>
      </c>
      <c r="E294" s="5">
        <v>1</v>
      </c>
      <c r="F294" s="5">
        <v>65.95</v>
      </c>
      <c r="G294" s="6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4299</v>
      </c>
      <c r="M294" t="s">
        <v>4281</v>
      </c>
      <c r="N294" s="5">
        <v>65.95</v>
      </c>
    </row>
    <row r="295" spans="1:14" x14ac:dyDescent="0.2">
      <c r="A295" t="s">
        <v>307</v>
      </c>
      <c r="B295" s="5" t="s">
        <v>4433</v>
      </c>
      <c r="C295" s="6" t="s">
        <v>1507</v>
      </c>
      <c r="D295" t="s">
        <v>2405</v>
      </c>
      <c r="E295" s="5">
        <v>4</v>
      </c>
      <c r="F295" s="5">
        <v>463.04</v>
      </c>
      <c r="G295" s="6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4299</v>
      </c>
      <c r="M295" t="s">
        <v>4278</v>
      </c>
      <c r="N295" s="7">
        <v>1852.16</v>
      </c>
    </row>
    <row r="296" spans="1:14" x14ac:dyDescent="0.2">
      <c r="A296" t="s">
        <v>308</v>
      </c>
      <c r="B296" s="4">
        <v>45661</v>
      </c>
      <c r="C296" s="6" t="s">
        <v>1508</v>
      </c>
      <c r="D296" t="s">
        <v>2404</v>
      </c>
      <c r="E296" s="5">
        <v>2</v>
      </c>
      <c r="F296" s="5">
        <v>297.70999999999998</v>
      </c>
      <c r="G296" s="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5">
        <v>595.41999999999996</v>
      </c>
    </row>
    <row r="297" spans="1:14" x14ac:dyDescent="0.2">
      <c r="A297" t="s">
        <v>309</v>
      </c>
      <c r="B297" s="5" t="s">
        <v>4457</v>
      </c>
      <c r="C297" s="6" t="s">
        <v>1509</v>
      </c>
      <c r="D297" t="s">
        <v>2407</v>
      </c>
      <c r="E297" s="5">
        <v>5</v>
      </c>
      <c r="F297" s="5">
        <v>107.48</v>
      </c>
      <c r="G297" s="6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5">
        <v>537.4</v>
      </c>
    </row>
    <row r="298" spans="1:14" x14ac:dyDescent="0.2">
      <c r="A298" t="s">
        <v>310</v>
      </c>
      <c r="B298" s="5" t="s">
        <v>4349</v>
      </c>
      <c r="C298" s="6" t="s">
        <v>1510</v>
      </c>
      <c r="D298" t="s">
        <v>2409</v>
      </c>
      <c r="E298" s="5">
        <v>5</v>
      </c>
      <c r="F298" s="5">
        <v>638.79999999999995</v>
      </c>
      <c r="G298" s="6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7">
        <v>3194</v>
      </c>
    </row>
    <row r="299" spans="1:14" x14ac:dyDescent="0.2">
      <c r="A299" t="s">
        <v>311</v>
      </c>
      <c r="B299" s="5" t="s">
        <v>4458</v>
      </c>
      <c r="C299" s="6" t="s">
        <v>1511</v>
      </c>
      <c r="D299" t="s">
        <v>2409</v>
      </c>
      <c r="E299" s="5">
        <v>2</v>
      </c>
      <c r="F299" s="5">
        <v>493.88</v>
      </c>
      <c r="G299" s="6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5">
        <v>987.76</v>
      </c>
    </row>
    <row r="300" spans="1:14" x14ac:dyDescent="0.2">
      <c r="A300" t="s">
        <v>312</v>
      </c>
      <c r="B300" s="5" t="s">
        <v>4459</v>
      </c>
      <c r="C300" s="6" t="s">
        <v>1512</v>
      </c>
      <c r="D300" t="s">
        <v>2407</v>
      </c>
      <c r="E300" s="5">
        <v>4</v>
      </c>
      <c r="F300" s="5">
        <v>301.17</v>
      </c>
      <c r="G300" s="6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4299</v>
      </c>
      <c r="M300" t="s">
        <v>4280</v>
      </c>
      <c r="N300" s="7">
        <v>1204.68</v>
      </c>
    </row>
    <row r="301" spans="1:14" x14ac:dyDescent="0.2">
      <c r="A301" t="s">
        <v>313</v>
      </c>
      <c r="B301" s="5" t="s">
        <v>4460</v>
      </c>
      <c r="C301" s="6" t="s">
        <v>1513</v>
      </c>
      <c r="D301" t="s">
        <v>2403</v>
      </c>
      <c r="E301" s="5">
        <v>1</v>
      </c>
      <c r="F301" s="5">
        <v>278.66000000000003</v>
      </c>
      <c r="G301" s="6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5">
        <v>278.66000000000003</v>
      </c>
    </row>
    <row r="302" spans="1:14" x14ac:dyDescent="0.2">
      <c r="A302" t="s">
        <v>314</v>
      </c>
      <c r="B302" s="4">
        <v>45331</v>
      </c>
      <c r="C302" s="6" t="s">
        <v>1514</v>
      </c>
      <c r="D302" t="s">
        <v>2404</v>
      </c>
      <c r="E302" s="5">
        <v>1</v>
      </c>
      <c r="F302" s="5">
        <v>287.45999999999998</v>
      </c>
      <c r="G302" s="6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5">
        <v>287.45999999999998</v>
      </c>
    </row>
    <row r="303" spans="1:14" x14ac:dyDescent="0.2">
      <c r="A303" t="s">
        <v>315</v>
      </c>
      <c r="B303" s="4">
        <v>45235</v>
      </c>
      <c r="C303" s="6" t="s">
        <v>1515</v>
      </c>
      <c r="D303" t="s">
        <v>2406</v>
      </c>
      <c r="E303" s="5">
        <v>1</v>
      </c>
      <c r="F303" s="5">
        <v>583.99</v>
      </c>
      <c r="G303" s="6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5">
        <v>583.99</v>
      </c>
    </row>
    <row r="304" spans="1:14" x14ac:dyDescent="0.2">
      <c r="A304" t="s">
        <v>316</v>
      </c>
      <c r="B304" s="5" t="s">
        <v>4432</v>
      </c>
      <c r="C304" s="6" t="s">
        <v>1516</v>
      </c>
      <c r="D304" t="s">
        <v>2406</v>
      </c>
      <c r="E304" s="5">
        <v>3</v>
      </c>
      <c r="F304" s="5">
        <v>468.74</v>
      </c>
      <c r="G304" s="6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7">
        <v>1406.22</v>
      </c>
    </row>
    <row r="305" spans="1:14" x14ac:dyDescent="0.2">
      <c r="A305" t="s">
        <v>317</v>
      </c>
      <c r="B305" s="4">
        <v>45485</v>
      </c>
      <c r="C305" s="6" t="s">
        <v>1517</v>
      </c>
      <c r="D305" t="s">
        <v>2405</v>
      </c>
      <c r="E305" s="5">
        <v>1</v>
      </c>
      <c r="F305" s="5">
        <v>30.54</v>
      </c>
      <c r="G305" s="6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4299</v>
      </c>
      <c r="M305" t="s">
        <v>4282</v>
      </c>
      <c r="N305" s="5">
        <v>30.54</v>
      </c>
    </row>
    <row r="306" spans="1:14" x14ac:dyDescent="0.2">
      <c r="A306" t="s">
        <v>318</v>
      </c>
      <c r="B306" s="5" t="s">
        <v>4461</v>
      </c>
      <c r="C306" s="6" t="s">
        <v>1518</v>
      </c>
      <c r="D306" t="s">
        <v>2403</v>
      </c>
      <c r="E306" s="5">
        <v>5</v>
      </c>
      <c r="F306" s="5">
        <v>408.73</v>
      </c>
      <c r="G306" s="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7">
        <v>2043.65</v>
      </c>
    </row>
    <row r="307" spans="1:14" x14ac:dyDescent="0.2">
      <c r="A307" t="s">
        <v>319</v>
      </c>
      <c r="B307" s="5" t="s">
        <v>4357</v>
      </c>
      <c r="C307" s="6" t="s">
        <v>1519</v>
      </c>
      <c r="D307" t="s">
        <v>2408</v>
      </c>
      <c r="E307" s="5">
        <v>4</v>
      </c>
      <c r="F307" s="5">
        <v>126.89</v>
      </c>
      <c r="G307" s="6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5">
        <v>507.56</v>
      </c>
    </row>
    <row r="308" spans="1:14" x14ac:dyDescent="0.2">
      <c r="A308" t="s">
        <v>320</v>
      </c>
      <c r="B308" s="4">
        <v>45479</v>
      </c>
      <c r="C308" s="6" t="s">
        <v>1520</v>
      </c>
      <c r="D308" t="s">
        <v>2407</v>
      </c>
      <c r="E308" s="5">
        <v>2</v>
      </c>
      <c r="F308" s="5">
        <v>57.07</v>
      </c>
      <c r="G308" s="6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5">
        <v>114.14</v>
      </c>
    </row>
    <row r="309" spans="1:14" x14ac:dyDescent="0.2">
      <c r="A309" t="s">
        <v>321</v>
      </c>
      <c r="B309" s="4">
        <v>44933</v>
      </c>
      <c r="C309" s="6" t="s">
        <v>1521</v>
      </c>
      <c r="D309" t="s">
        <v>2408</v>
      </c>
      <c r="E309" s="5">
        <v>3</v>
      </c>
      <c r="F309" s="5">
        <v>557.41</v>
      </c>
      <c r="G309" s="6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4299</v>
      </c>
      <c r="M309" t="s">
        <v>4280</v>
      </c>
      <c r="N309" s="7">
        <v>1672.23</v>
      </c>
    </row>
    <row r="310" spans="1:14" x14ac:dyDescent="0.2">
      <c r="A310" t="s">
        <v>322</v>
      </c>
      <c r="B310" s="4">
        <v>45242</v>
      </c>
      <c r="C310" s="6" t="s">
        <v>1522</v>
      </c>
      <c r="D310" t="s">
        <v>2407</v>
      </c>
      <c r="E310" s="5">
        <v>3</v>
      </c>
      <c r="F310" s="5">
        <v>448.9</v>
      </c>
      <c r="G310" s="6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7">
        <v>1346.7</v>
      </c>
    </row>
    <row r="311" spans="1:14" x14ac:dyDescent="0.2">
      <c r="A311" t="s">
        <v>323</v>
      </c>
      <c r="B311" s="4">
        <v>44995</v>
      </c>
      <c r="C311" s="6" t="s">
        <v>1523</v>
      </c>
      <c r="D311" t="s">
        <v>2406</v>
      </c>
      <c r="E311" s="5">
        <v>4</v>
      </c>
      <c r="F311" s="5">
        <v>549.76</v>
      </c>
      <c r="G311" s="6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7">
        <v>2199.04</v>
      </c>
    </row>
    <row r="312" spans="1:14" x14ac:dyDescent="0.2">
      <c r="A312" t="s">
        <v>324</v>
      </c>
      <c r="B312" s="5" t="s">
        <v>4462</v>
      </c>
      <c r="C312" s="6" t="s">
        <v>1524</v>
      </c>
      <c r="D312" t="s">
        <v>2407</v>
      </c>
      <c r="E312" s="5">
        <v>3</v>
      </c>
      <c r="F312" s="5">
        <v>132.47999999999999</v>
      </c>
      <c r="G312" s="6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4299</v>
      </c>
      <c r="M312" t="s">
        <v>4279</v>
      </c>
      <c r="N312" s="5">
        <v>397.44</v>
      </c>
    </row>
    <row r="313" spans="1:14" x14ac:dyDescent="0.2">
      <c r="A313" t="s">
        <v>325</v>
      </c>
      <c r="B313" s="5" t="s">
        <v>4463</v>
      </c>
      <c r="C313" s="6" t="s">
        <v>1525</v>
      </c>
      <c r="D313" t="s">
        <v>2409</v>
      </c>
      <c r="E313" s="5">
        <v>5</v>
      </c>
      <c r="F313" s="5">
        <v>489.37</v>
      </c>
      <c r="G313" s="6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4299</v>
      </c>
      <c r="M313" t="s">
        <v>4278</v>
      </c>
      <c r="N313" s="7">
        <v>2446.85</v>
      </c>
    </row>
    <row r="314" spans="1:14" x14ac:dyDescent="0.2">
      <c r="A314" t="s">
        <v>326</v>
      </c>
      <c r="B314" s="5" t="s">
        <v>4464</v>
      </c>
      <c r="C314" s="6" t="s">
        <v>1526</v>
      </c>
      <c r="D314" t="s">
        <v>2407</v>
      </c>
      <c r="E314" s="5">
        <v>5</v>
      </c>
      <c r="F314" s="5">
        <v>66.31</v>
      </c>
      <c r="G314" s="6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5">
        <v>331.55</v>
      </c>
    </row>
    <row r="315" spans="1:14" x14ac:dyDescent="0.2">
      <c r="A315" t="s">
        <v>327</v>
      </c>
      <c r="B315" s="4">
        <v>45176</v>
      </c>
      <c r="C315" s="6" t="s">
        <v>1527</v>
      </c>
      <c r="D315" t="s">
        <v>2406</v>
      </c>
      <c r="E315" s="5">
        <v>2</v>
      </c>
      <c r="F315" s="5">
        <v>434.3</v>
      </c>
      <c r="G315" s="6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5">
        <v>868.6</v>
      </c>
    </row>
    <row r="316" spans="1:14" x14ac:dyDescent="0.2">
      <c r="A316" t="s">
        <v>328</v>
      </c>
      <c r="B316" s="4">
        <v>45026</v>
      </c>
      <c r="C316" s="6" t="s">
        <v>1528</v>
      </c>
      <c r="D316" t="s">
        <v>2409</v>
      </c>
      <c r="E316" s="5">
        <v>4</v>
      </c>
      <c r="F316" s="5">
        <v>153.09</v>
      </c>
      <c r="G316" s="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5">
        <v>612.36</v>
      </c>
    </row>
    <row r="317" spans="1:14" x14ac:dyDescent="0.2">
      <c r="A317" t="s">
        <v>329</v>
      </c>
      <c r="B317" s="4">
        <v>45996</v>
      </c>
      <c r="C317" s="6" t="s">
        <v>1529</v>
      </c>
      <c r="D317" t="s">
        <v>2405</v>
      </c>
      <c r="E317" s="5">
        <v>5</v>
      </c>
      <c r="F317" s="5">
        <v>91.67</v>
      </c>
      <c r="G317" s="6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5">
        <v>458.35</v>
      </c>
    </row>
    <row r="318" spans="1:14" x14ac:dyDescent="0.2">
      <c r="A318" t="s">
        <v>330</v>
      </c>
      <c r="B318" s="4">
        <v>44967</v>
      </c>
      <c r="C318" s="6" t="s">
        <v>1530</v>
      </c>
      <c r="D318" t="s">
        <v>2409</v>
      </c>
      <c r="E318" s="5">
        <v>4</v>
      </c>
      <c r="F318" s="5">
        <v>275.27999999999997</v>
      </c>
      <c r="G318" s="6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7">
        <v>1101.1199999999999</v>
      </c>
    </row>
    <row r="319" spans="1:14" x14ac:dyDescent="0.2">
      <c r="A319" t="s">
        <v>331</v>
      </c>
      <c r="B319" s="4">
        <v>45203</v>
      </c>
      <c r="C319" s="6" t="s">
        <v>1531</v>
      </c>
      <c r="D319" t="s">
        <v>2403</v>
      </c>
      <c r="E319" s="5">
        <v>2</v>
      </c>
      <c r="F319" s="5">
        <v>139.94999999999999</v>
      </c>
      <c r="G319" s="6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4299</v>
      </c>
      <c r="M319" t="s">
        <v>4278</v>
      </c>
      <c r="N319" s="5">
        <v>279.89999999999998</v>
      </c>
    </row>
    <row r="320" spans="1:14" x14ac:dyDescent="0.2">
      <c r="A320" t="s">
        <v>332</v>
      </c>
      <c r="B320" s="5" t="s">
        <v>4465</v>
      </c>
      <c r="C320" s="6" t="s">
        <v>1532</v>
      </c>
      <c r="D320" t="s">
        <v>2406</v>
      </c>
      <c r="E320" s="5">
        <v>3</v>
      </c>
      <c r="F320" s="5">
        <v>148.72</v>
      </c>
      <c r="G320" s="6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5">
        <v>446.16</v>
      </c>
    </row>
    <row r="321" spans="1:14" x14ac:dyDescent="0.2">
      <c r="A321" t="s">
        <v>333</v>
      </c>
      <c r="B321" s="4">
        <v>44969</v>
      </c>
      <c r="C321" s="6" t="s">
        <v>1533</v>
      </c>
      <c r="D321" t="s">
        <v>2408</v>
      </c>
      <c r="E321" s="5">
        <v>2</v>
      </c>
      <c r="F321" s="5">
        <v>563.05999999999995</v>
      </c>
      <c r="G321" s="6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4299</v>
      </c>
      <c r="M321" t="s">
        <v>4278</v>
      </c>
      <c r="N321" s="7">
        <v>1126.1199999999999</v>
      </c>
    </row>
    <row r="322" spans="1:14" x14ac:dyDescent="0.2">
      <c r="A322" t="s">
        <v>334</v>
      </c>
      <c r="B322" s="5" t="s">
        <v>4319</v>
      </c>
      <c r="C322" s="6" t="s">
        <v>1534</v>
      </c>
      <c r="D322" t="s">
        <v>2407</v>
      </c>
      <c r="E322" s="5">
        <v>1</v>
      </c>
      <c r="F322" s="5">
        <v>625.51</v>
      </c>
      <c r="G322" s="6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5">
        <v>625.51</v>
      </c>
    </row>
    <row r="323" spans="1:14" x14ac:dyDescent="0.2">
      <c r="A323" t="s">
        <v>335</v>
      </c>
      <c r="B323" s="4">
        <v>45177</v>
      </c>
      <c r="C323" s="6" t="s">
        <v>1535</v>
      </c>
      <c r="D323" t="s">
        <v>2404</v>
      </c>
      <c r="E323" s="5">
        <v>4</v>
      </c>
      <c r="F323" s="5">
        <v>152.29</v>
      </c>
      <c r="G323" s="6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5">
        <v>609.16</v>
      </c>
    </row>
    <row r="324" spans="1:14" x14ac:dyDescent="0.2">
      <c r="A324" t="s">
        <v>336</v>
      </c>
      <c r="B324" s="5" t="s">
        <v>4466</v>
      </c>
      <c r="C324" s="6" t="s">
        <v>1536</v>
      </c>
      <c r="D324" t="s">
        <v>2404</v>
      </c>
      <c r="E324" s="5">
        <v>5</v>
      </c>
      <c r="F324" s="5">
        <v>231.82</v>
      </c>
      <c r="G324" s="6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7">
        <v>1159.0999999999999</v>
      </c>
    </row>
    <row r="325" spans="1:14" x14ac:dyDescent="0.2">
      <c r="A325" t="s">
        <v>337</v>
      </c>
      <c r="B325" s="5" t="s">
        <v>4467</v>
      </c>
      <c r="C325" s="6" t="s">
        <v>1537</v>
      </c>
      <c r="D325" t="s">
        <v>2408</v>
      </c>
      <c r="E325" s="5">
        <v>1</v>
      </c>
      <c r="F325" s="5">
        <v>150.16999999999999</v>
      </c>
      <c r="G325" s="6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5">
        <v>150.16999999999999</v>
      </c>
    </row>
    <row r="326" spans="1:14" x14ac:dyDescent="0.2">
      <c r="A326" t="s">
        <v>338</v>
      </c>
      <c r="B326" s="5" t="s">
        <v>4381</v>
      </c>
      <c r="C326" s="6" t="s">
        <v>1538</v>
      </c>
      <c r="D326" t="s">
        <v>2405</v>
      </c>
      <c r="E326" s="5">
        <v>3</v>
      </c>
      <c r="F326" s="5">
        <v>70.930000000000007</v>
      </c>
      <c r="G326" s="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4299</v>
      </c>
      <c r="M326" t="s">
        <v>4279</v>
      </c>
      <c r="N326" s="5">
        <v>212.79</v>
      </c>
    </row>
    <row r="327" spans="1:14" x14ac:dyDescent="0.2">
      <c r="A327" t="s">
        <v>339</v>
      </c>
      <c r="B327" s="5" t="s">
        <v>4468</v>
      </c>
      <c r="C327" s="6" t="s">
        <v>1539</v>
      </c>
      <c r="D327" t="s">
        <v>2409</v>
      </c>
      <c r="E327" s="5">
        <v>3</v>
      </c>
      <c r="F327" s="5">
        <v>361.39</v>
      </c>
      <c r="G327" s="6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4299</v>
      </c>
      <c r="M327" t="s">
        <v>4279</v>
      </c>
      <c r="N327" s="7">
        <v>1084.17</v>
      </c>
    </row>
    <row r="328" spans="1:14" x14ac:dyDescent="0.2">
      <c r="A328" t="s">
        <v>340</v>
      </c>
      <c r="B328" s="4">
        <v>45298</v>
      </c>
      <c r="C328" s="6" t="s">
        <v>1540</v>
      </c>
      <c r="D328" t="s">
        <v>2408</v>
      </c>
      <c r="E328" s="5">
        <v>5</v>
      </c>
      <c r="F328" s="5">
        <v>670.48</v>
      </c>
      <c r="G328" s="6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7">
        <v>3352.4</v>
      </c>
    </row>
    <row r="329" spans="1:14" x14ac:dyDescent="0.2">
      <c r="A329" t="s">
        <v>341</v>
      </c>
      <c r="B329" s="5" t="s">
        <v>4469</v>
      </c>
      <c r="C329" s="6" t="s">
        <v>1541</v>
      </c>
      <c r="D329" t="s">
        <v>2404</v>
      </c>
      <c r="E329" s="5">
        <v>1</v>
      </c>
      <c r="F329" s="5">
        <v>359.99</v>
      </c>
      <c r="G329" s="6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5">
        <v>359.99</v>
      </c>
    </row>
    <row r="330" spans="1:14" x14ac:dyDescent="0.2">
      <c r="A330" t="s">
        <v>342</v>
      </c>
      <c r="B330" s="5" t="s">
        <v>4470</v>
      </c>
      <c r="C330" s="6" t="s">
        <v>1542</v>
      </c>
      <c r="D330" t="s">
        <v>2405</v>
      </c>
      <c r="E330" s="5">
        <v>5</v>
      </c>
      <c r="F330" s="5">
        <v>674.04</v>
      </c>
      <c r="G330" s="6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7">
        <v>3370.2</v>
      </c>
    </row>
    <row r="331" spans="1:14" x14ac:dyDescent="0.2">
      <c r="A331" t="s">
        <v>343</v>
      </c>
      <c r="B331" s="5" t="s">
        <v>4471</v>
      </c>
      <c r="C331" s="6" t="s">
        <v>1543</v>
      </c>
      <c r="D331" t="s">
        <v>2406</v>
      </c>
      <c r="E331" s="5">
        <v>4</v>
      </c>
      <c r="F331" s="5">
        <v>283.16000000000003</v>
      </c>
      <c r="G331" s="6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4299</v>
      </c>
      <c r="M331" t="s">
        <v>4282</v>
      </c>
      <c r="N331" s="7">
        <v>1132.6400000000001</v>
      </c>
    </row>
    <row r="332" spans="1:14" x14ac:dyDescent="0.2">
      <c r="A332" t="s">
        <v>344</v>
      </c>
      <c r="B332" s="4">
        <v>45328</v>
      </c>
      <c r="C332" s="6" t="s">
        <v>1544</v>
      </c>
      <c r="D332" t="s">
        <v>2409</v>
      </c>
      <c r="E332" s="5">
        <v>5</v>
      </c>
      <c r="F332" s="5">
        <v>260.52999999999997</v>
      </c>
      <c r="G332" s="6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7">
        <v>1302.6500000000001</v>
      </c>
    </row>
    <row r="333" spans="1:14" x14ac:dyDescent="0.2">
      <c r="A333" t="s">
        <v>345</v>
      </c>
      <c r="B333" s="5" t="s">
        <v>4472</v>
      </c>
      <c r="C333" s="6" t="s">
        <v>1545</v>
      </c>
      <c r="D333" t="s">
        <v>2407</v>
      </c>
      <c r="E333" s="5">
        <v>3</v>
      </c>
      <c r="F333" s="5">
        <v>422.13</v>
      </c>
      <c r="G333" s="6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7">
        <v>1266.3900000000001</v>
      </c>
    </row>
    <row r="334" spans="1:14" x14ac:dyDescent="0.2">
      <c r="A334" t="s">
        <v>346</v>
      </c>
      <c r="B334" s="4">
        <v>45358</v>
      </c>
      <c r="C334" s="6" t="s">
        <v>1546</v>
      </c>
      <c r="D334" t="s">
        <v>2409</v>
      </c>
      <c r="E334" s="5">
        <v>5</v>
      </c>
      <c r="F334" s="5">
        <v>125.02</v>
      </c>
      <c r="G334" s="6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5">
        <v>625.1</v>
      </c>
    </row>
    <row r="335" spans="1:14" x14ac:dyDescent="0.2">
      <c r="A335" t="s">
        <v>347</v>
      </c>
      <c r="B335" s="5" t="s">
        <v>4398</v>
      </c>
      <c r="C335" s="6" t="s">
        <v>1547</v>
      </c>
      <c r="D335" t="s">
        <v>2404</v>
      </c>
      <c r="E335" s="5">
        <v>1</v>
      </c>
      <c r="F335" s="5">
        <v>198.51</v>
      </c>
      <c r="G335" s="6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5">
        <v>198.51</v>
      </c>
    </row>
    <row r="336" spans="1:14" x14ac:dyDescent="0.2">
      <c r="A336" t="s">
        <v>348</v>
      </c>
      <c r="B336" s="5" t="s">
        <v>4473</v>
      </c>
      <c r="C336" s="6" t="s">
        <v>1548</v>
      </c>
      <c r="D336" t="s">
        <v>2406</v>
      </c>
      <c r="E336" s="5">
        <v>4</v>
      </c>
      <c r="F336" s="5">
        <v>224.75</v>
      </c>
      <c r="G336" s="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5">
        <v>899</v>
      </c>
    </row>
    <row r="337" spans="1:14" x14ac:dyDescent="0.2">
      <c r="A337" t="s">
        <v>349</v>
      </c>
      <c r="B337" s="4">
        <v>45719</v>
      </c>
      <c r="C337" s="6" t="s">
        <v>1549</v>
      </c>
      <c r="D337" t="s">
        <v>2405</v>
      </c>
      <c r="E337" s="5">
        <v>3</v>
      </c>
      <c r="F337" s="5">
        <v>205.86</v>
      </c>
      <c r="G337" s="6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4299</v>
      </c>
      <c r="M337" t="s">
        <v>4280</v>
      </c>
      <c r="N337" s="5">
        <v>617.58000000000004</v>
      </c>
    </row>
    <row r="338" spans="1:14" x14ac:dyDescent="0.2">
      <c r="A338" t="s">
        <v>350</v>
      </c>
      <c r="B338" s="5" t="s">
        <v>4301</v>
      </c>
      <c r="C338" s="6" t="s">
        <v>1550</v>
      </c>
      <c r="D338" t="s">
        <v>2408</v>
      </c>
      <c r="E338" s="5">
        <v>1</v>
      </c>
      <c r="F338" s="5">
        <v>18.2</v>
      </c>
      <c r="G338" s="6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5">
        <v>18.2</v>
      </c>
    </row>
    <row r="339" spans="1:14" x14ac:dyDescent="0.2">
      <c r="A339" t="s">
        <v>351</v>
      </c>
      <c r="B339" s="5" t="s">
        <v>4474</v>
      </c>
      <c r="C339" s="6" t="s">
        <v>1551</v>
      </c>
      <c r="D339" t="s">
        <v>2405</v>
      </c>
      <c r="E339" s="5">
        <v>3</v>
      </c>
      <c r="F339" s="5">
        <v>502.77</v>
      </c>
      <c r="G339" s="6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7">
        <v>1508.31</v>
      </c>
    </row>
    <row r="340" spans="1:14" x14ac:dyDescent="0.2">
      <c r="A340" t="s">
        <v>352</v>
      </c>
      <c r="B340" s="4">
        <v>45149</v>
      </c>
      <c r="C340" s="6" t="s">
        <v>1552</v>
      </c>
      <c r="D340" t="s">
        <v>2404</v>
      </c>
      <c r="E340" s="5">
        <v>5</v>
      </c>
      <c r="F340" s="5">
        <v>305.49</v>
      </c>
      <c r="G340" s="6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4299</v>
      </c>
      <c r="M340" t="s">
        <v>4279</v>
      </c>
      <c r="N340" s="7">
        <v>1527.45</v>
      </c>
    </row>
    <row r="341" spans="1:14" x14ac:dyDescent="0.2">
      <c r="A341" t="s">
        <v>353</v>
      </c>
      <c r="B341" s="4">
        <v>45569</v>
      </c>
      <c r="C341" s="6" t="s">
        <v>1553</v>
      </c>
      <c r="D341" t="s">
        <v>2407</v>
      </c>
      <c r="E341" s="5">
        <v>2</v>
      </c>
      <c r="F341" s="5">
        <v>236.33</v>
      </c>
      <c r="G341" s="6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5">
        <v>472.66</v>
      </c>
    </row>
    <row r="342" spans="1:14" x14ac:dyDescent="0.2">
      <c r="A342" t="s">
        <v>354</v>
      </c>
      <c r="B342" s="5" t="s">
        <v>4475</v>
      </c>
      <c r="C342" s="6" t="s">
        <v>1554</v>
      </c>
      <c r="D342" t="s">
        <v>2408</v>
      </c>
      <c r="E342" s="5">
        <v>5</v>
      </c>
      <c r="F342" s="5">
        <v>521.25</v>
      </c>
      <c r="G342" s="6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4299</v>
      </c>
      <c r="M342" t="s">
        <v>4280</v>
      </c>
      <c r="N342" s="7">
        <v>2606.25</v>
      </c>
    </row>
    <row r="343" spans="1:14" x14ac:dyDescent="0.2">
      <c r="A343" t="s">
        <v>355</v>
      </c>
      <c r="B343" s="5" t="s">
        <v>4476</v>
      </c>
      <c r="C343" s="6" t="s">
        <v>1555</v>
      </c>
      <c r="D343" t="s">
        <v>2405</v>
      </c>
      <c r="E343" s="5">
        <v>1</v>
      </c>
      <c r="F343" s="5">
        <v>167.15</v>
      </c>
      <c r="G343" s="6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5">
        <v>167.15</v>
      </c>
    </row>
    <row r="344" spans="1:14" x14ac:dyDescent="0.2">
      <c r="A344" t="s">
        <v>356</v>
      </c>
      <c r="B344" s="5" t="s">
        <v>4331</v>
      </c>
      <c r="C344" s="6" t="s">
        <v>1556</v>
      </c>
      <c r="D344" t="s">
        <v>2403</v>
      </c>
      <c r="E344" s="5">
        <v>5</v>
      </c>
      <c r="F344" s="5">
        <v>466.42</v>
      </c>
      <c r="G344" s="6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4299</v>
      </c>
      <c r="M344" t="s">
        <v>4279</v>
      </c>
      <c r="N344" s="7">
        <v>2332.1</v>
      </c>
    </row>
    <row r="345" spans="1:14" x14ac:dyDescent="0.2">
      <c r="A345" t="s">
        <v>357</v>
      </c>
      <c r="B345" s="5" t="s">
        <v>4477</v>
      </c>
      <c r="C345" s="6" t="s">
        <v>1557</v>
      </c>
      <c r="D345" t="s">
        <v>2407</v>
      </c>
      <c r="E345" s="5">
        <v>1</v>
      </c>
      <c r="F345" s="5">
        <v>527.57000000000005</v>
      </c>
      <c r="G345" s="6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5">
        <v>527.57000000000005</v>
      </c>
    </row>
    <row r="346" spans="1:14" x14ac:dyDescent="0.2">
      <c r="A346" t="s">
        <v>358</v>
      </c>
      <c r="B346" s="4">
        <v>45811</v>
      </c>
      <c r="C346" s="6" t="s">
        <v>1558</v>
      </c>
      <c r="D346" t="s">
        <v>2405</v>
      </c>
      <c r="E346" s="5">
        <v>3</v>
      </c>
      <c r="F346" s="5">
        <v>623.34</v>
      </c>
      <c r="G346" s="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7">
        <v>1870.02</v>
      </c>
    </row>
    <row r="347" spans="1:14" x14ac:dyDescent="0.2">
      <c r="A347" t="s">
        <v>359</v>
      </c>
      <c r="B347" s="4">
        <v>45119</v>
      </c>
      <c r="C347" s="6" t="s">
        <v>1559</v>
      </c>
      <c r="D347" t="s">
        <v>2405</v>
      </c>
      <c r="E347" s="5">
        <v>5</v>
      </c>
      <c r="F347" s="5">
        <v>501.26</v>
      </c>
      <c r="G347" s="6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7">
        <v>2506.3000000000002</v>
      </c>
    </row>
    <row r="348" spans="1:14" x14ac:dyDescent="0.2">
      <c r="A348" t="s">
        <v>360</v>
      </c>
      <c r="B348" s="4">
        <v>45455</v>
      </c>
      <c r="C348" s="6" t="s">
        <v>1560</v>
      </c>
      <c r="D348" t="s">
        <v>2405</v>
      </c>
      <c r="E348" s="5">
        <v>1</v>
      </c>
      <c r="F348" s="5">
        <v>655.09</v>
      </c>
      <c r="G348" s="6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4299</v>
      </c>
      <c r="M348" t="s">
        <v>4279</v>
      </c>
      <c r="N348" s="5">
        <v>655.09</v>
      </c>
    </row>
    <row r="349" spans="1:14" x14ac:dyDescent="0.2">
      <c r="A349" t="s">
        <v>361</v>
      </c>
      <c r="B349" s="4">
        <v>45353</v>
      </c>
      <c r="C349" s="6" t="s">
        <v>1561</v>
      </c>
      <c r="D349" t="s">
        <v>2407</v>
      </c>
      <c r="E349" s="5">
        <v>4</v>
      </c>
      <c r="F349" s="5">
        <v>264.79000000000002</v>
      </c>
      <c r="G349" s="6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7">
        <v>1059.1600000000001</v>
      </c>
    </row>
    <row r="350" spans="1:14" x14ac:dyDescent="0.2">
      <c r="A350" t="s">
        <v>362</v>
      </c>
      <c r="B350" s="5" t="s">
        <v>4422</v>
      </c>
      <c r="C350" s="6" t="s">
        <v>1562</v>
      </c>
      <c r="D350" t="s">
        <v>2408</v>
      </c>
      <c r="E350" s="5">
        <v>3</v>
      </c>
      <c r="F350" s="5">
        <v>359.73</v>
      </c>
      <c r="G350" s="6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7">
        <v>1079.19</v>
      </c>
    </row>
    <row r="351" spans="1:14" x14ac:dyDescent="0.2">
      <c r="A351" t="s">
        <v>363</v>
      </c>
      <c r="B351" s="5" t="s">
        <v>4368</v>
      </c>
      <c r="C351" s="6" t="s">
        <v>1563</v>
      </c>
      <c r="D351" t="s">
        <v>2406</v>
      </c>
      <c r="E351" s="5">
        <v>1</v>
      </c>
      <c r="F351" s="5">
        <v>465.33</v>
      </c>
      <c r="G351" s="6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5">
        <v>465.33</v>
      </c>
    </row>
    <row r="352" spans="1:14" x14ac:dyDescent="0.2">
      <c r="A352" t="s">
        <v>364</v>
      </c>
      <c r="B352" s="4">
        <v>44991</v>
      </c>
      <c r="C352" s="6" t="s">
        <v>1564</v>
      </c>
      <c r="D352" t="s">
        <v>2406</v>
      </c>
      <c r="E352" s="5">
        <v>2</v>
      </c>
      <c r="F352" s="5">
        <v>54.41</v>
      </c>
      <c r="G352" s="6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4299</v>
      </c>
      <c r="M352" t="s">
        <v>4278</v>
      </c>
      <c r="N352" s="5">
        <v>108.82</v>
      </c>
    </row>
    <row r="353" spans="1:14" x14ac:dyDescent="0.2">
      <c r="A353" t="s">
        <v>365</v>
      </c>
      <c r="B353" s="5" t="s">
        <v>4478</v>
      </c>
      <c r="C353" s="6" t="s">
        <v>1565</v>
      </c>
      <c r="D353" t="s">
        <v>2408</v>
      </c>
      <c r="E353" s="5">
        <v>1</v>
      </c>
      <c r="F353" s="5">
        <v>64.66</v>
      </c>
      <c r="G353" s="6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4299</v>
      </c>
      <c r="M353" t="s">
        <v>4278</v>
      </c>
      <c r="N353" s="5">
        <v>64.66</v>
      </c>
    </row>
    <row r="354" spans="1:14" x14ac:dyDescent="0.2">
      <c r="A354" t="s">
        <v>366</v>
      </c>
      <c r="B354" s="5" t="s">
        <v>4479</v>
      </c>
      <c r="C354" s="6" t="s">
        <v>1566</v>
      </c>
      <c r="D354" t="s">
        <v>2406</v>
      </c>
      <c r="E354" s="5">
        <v>5</v>
      </c>
      <c r="F354" s="5">
        <v>173.96</v>
      </c>
      <c r="G354" s="6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5">
        <v>869.8</v>
      </c>
    </row>
    <row r="355" spans="1:14" x14ac:dyDescent="0.2">
      <c r="A355" t="s">
        <v>367</v>
      </c>
      <c r="B355" s="5" t="s">
        <v>4425</v>
      </c>
      <c r="C355" s="6" t="s">
        <v>1567</v>
      </c>
      <c r="D355" t="s">
        <v>2405</v>
      </c>
      <c r="E355" s="5">
        <v>1</v>
      </c>
      <c r="F355" s="5">
        <v>630.82000000000005</v>
      </c>
      <c r="G355" s="6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5">
        <v>630.82000000000005</v>
      </c>
    </row>
    <row r="356" spans="1:14" x14ac:dyDescent="0.2">
      <c r="A356" t="s">
        <v>368</v>
      </c>
      <c r="B356" s="4">
        <v>45237</v>
      </c>
      <c r="C356" s="6" t="s">
        <v>1568</v>
      </c>
      <c r="D356" t="s">
        <v>2404</v>
      </c>
      <c r="E356" s="5">
        <v>1</v>
      </c>
      <c r="F356" s="5">
        <v>693.41</v>
      </c>
      <c r="G356" s="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4299</v>
      </c>
      <c r="M356" t="s">
        <v>4278</v>
      </c>
      <c r="N356" s="5">
        <v>693.41</v>
      </c>
    </row>
    <row r="357" spans="1:14" x14ac:dyDescent="0.2">
      <c r="A357" t="s">
        <v>369</v>
      </c>
      <c r="B357" s="4">
        <v>45722</v>
      </c>
      <c r="C357" s="6" t="s">
        <v>1569</v>
      </c>
      <c r="D357" t="s">
        <v>2405</v>
      </c>
      <c r="E357" s="5">
        <v>3</v>
      </c>
      <c r="F357" s="5">
        <v>433.33</v>
      </c>
      <c r="G357" s="6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7">
        <v>1299.99</v>
      </c>
    </row>
    <row r="358" spans="1:14" x14ac:dyDescent="0.2">
      <c r="A358" t="s">
        <v>370</v>
      </c>
      <c r="B358" s="4">
        <v>45082</v>
      </c>
      <c r="C358" s="6" t="s">
        <v>1570</v>
      </c>
      <c r="D358" t="s">
        <v>2407</v>
      </c>
      <c r="E358" s="5">
        <v>5</v>
      </c>
      <c r="F358" s="5">
        <v>374.58</v>
      </c>
      <c r="G358" s="6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7">
        <v>1872.9</v>
      </c>
    </row>
    <row r="359" spans="1:14" x14ac:dyDescent="0.2">
      <c r="A359" t="s">
        <v>371</v>
      </c>
      <c r="B359" s="4">
        <v>45145</v>
      </c>
      <c r="C359" s="6" t="s">
        <v>1571</v>
      </c>
      <c r="D359" t="s">
        <v>2408</v>
      </c>
      <c r="E359" s="5">
        <v>5</v>
      </c>
      <c r="F359" s="5">
        <v>408.56</v>
      </c>
      <c r="G359" s="6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7">
        <v>2042.8</v>
      </c>
    </row>
    <row r="360" spans="1:14" x14ac:dyDescent="0.2">
      <c r="A360" t="s">
        <v>372</v>
      </c>
      <c r="B360" s="4">
        <v>45477</v>
      </c>
      <c r="C360" s="6" t="s">
        <v>1572</v>
      </c>
      <c r="D360" t="s">
        <v>2405</v>
      </c>
      <c r="E360" s="5">
        <v>2</v>
      </c>
      <c r="F360" s="5">
        <v>183.67</v>
      </c>
      <c r="G360" s="6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5">
        <v>367.34</v>
      </c>
    </row>
    <row r="361" spans="1:14" x14ac:dyDescent="0.2">
      <c r="A361" t="s">
        <v>373</v>
      </c>
      <c r="B361" s="4">
        <v>45175</v>
      </c>
      <c r="C361" s="6" t="s">
        <v>1573</v>
      </c>
      <c r="D361" t="s">
        <v>2409</v>
      </c>
      <c r="E361" s="5">
        <v>4</v>
      </c>
      <c r="F361" s="5">
        <v>606.57000000000005</v>
      </c>
      <c r="G361" s="6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7">
        <v>2426.2800000000002</v>
      </c>
    </row>
    <row r="362" spans="1:14" x14ac:dyDescent="0.2">
      <c r="A362" t="s">
        <v>374</v>
      </c>
      <c r="B362" s="4">
        <v>45449</v>
      </c>
      <c r="C362" s="6" t="s">
        <v>1574</v>
      </c>
      <c r="D362" t="s">
        <v>2404</v>
      </c>
      <c r="E362" s="5">
        <v>4</v>
      </c>
      <c r="F362" s="5">
        <v>589.57000000000005</v>
      </c>
      <c r="G362" s="6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4299</v>
      </c>
      <c r="M362" t="s">
        <v>4278</v>
      </c>
      <c r="N362" s="7">
        <v>2358.2800000000002</v>
      </c>
    </row>
    <row r="363" spans="1:14" x14ac:dyDescent="0.2">
      <c r="A363" t="s">
        <v>375</v>
      </c>
      <c r="B363" s="5" t="s">
        <v>4480</v>
      </c>
      <c r="C363" s="6" t="s">
        <v>1575</v>
      </c>
      <c r="D363" t="s">
        <v>2407</v>
      </c>
      <c r="E363" s="5">
        <v>5</v>
      </c>
      <c r="F363" s="5">
        <v>659.85</v>
      </c>
      <c r="G363" s="6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7">
        <v>3299.25</v>
      </c>
    </row>
    <row r="364" spans="1:14" x14ac:dyDescent="0.2">
      <c r="A364" t="s">
        <v>376</v>
      </c>
      <c r="B364" s="5" t="s">
        <v>4347</v>
      </c>
      <c r="C364" s="6" t="s">
        <v>1576</v>
      </c>
      <c r="D364" t="s">
        <v>2403</v>
      </c>
      <c r="E364" s="5">
        <v>4</v>
      </c>
      <c r="F364" s="5">
        <v>206.84</v>
      </c>
      <c r="G364" s="6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5">
        <v>827.36</v>
      </c>
    </row>
    <row r="365" spans="1:14" x14ac:dyDescent="0.2">
      <c r="A365" t="s">
        <v>377</v>
      </c>
      <c r="B365" s="5" t="s">
        <v>4346</v>
      </c>
      <c r="C365" s="6" t="s">
        <v>1577</v>
      </c>
      <c r="D365" t="s">
        <v>2408</v>
      </c>
      <c r="E365" s="5">
        <v>5</v>
      </c>
      <c r="F365" s="5">
        <v>113.87</v>
      </c>
      <c r="G365" s="6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5">
        <v>569.35</v>
      </c>
    </row>
    <row r="366" spans="1:14" x14ac:dyDescent="0.2">
      <c r="A366" t="s">
        <v>378</v>
      </c>
      <c r="B366" s="5" t="s">
        <v>4454</v>
      </c>
      <c r="C366" s="6" t="s">
        <v>1578</v>
      </c>
      <c r="D366" t="s">
        <v>2404</v>
      </c>
      <c r="E366" s="5">
        <v>5</v>
      </c>
      <c r="F366" s="5">
        <v>628.74</v>
      </c>
      <c r="G366" s="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7">
        <v>3143.7</v>
      </c>
    </row>
    <row r="367" spans="1:14" x14ac:dyDescent="0.2">
      <c r="A367" t="s">
        <v>379</v>
      </c>
      <c r="B367" s="5" t="s">
        <v>4481</v>
      </c>
      <c r="C367" s="6" t="s">
        <v>1579</v>
      </c>
      <c r="D367" t="s">
        <v>2404</v>
      </c>
      <c r="E367" s="5">
        <v>1</v>
      </c>
      <c r="F367" s="5">
        <v>678.38</v>
      </c>
      <c r="G367" s="6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5">
        <v>678.38</v>
      </c>
    </row>
    <row r="368" spans="1:14" x14ac:dyDescent="0.2">
      <c r="A368" t="s">
        <v>380</v>
      </c>
      <c r="B368" s="4">
        <v>45201</v>
      </c>
      <c r="C368" s="6" t="s">
        <v>1580</v>
      </c>
      <c r="D368" t="s">
        <v>2407</v>
      </c>
      <c r="E368" s="5">
        <v>3</v>
      </c>
      <c r="F368" s="5">
        <v>602.24</v>
      </c>
      <c r="G368" s="6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4299</v>
      </c>
      <c r="M368" t="s">
        <v>4279</v>
      </c>
      <c r="N368" s="7">
        <v>1806.72</v>
      </c>
    </row>
    <row r="369" spans="1:14" x14ac:dyDescent="0.2">
      <c r="A369" t="s">
        <v>381</v>
      </c>
      <c r="B369" s="5" t="s">
        <v>4482</v>
      </c>
      <c r="C369" s="6" t="s">
        <v>1581</v>
      </c>
      <c r="D369" t="s">
        <v>2408</v>
      </c>
      <c r="E369" s="5">
        <v>5</v>
      </c>
      <c r="F369" s="5">
        <v>658.77</v>
      </c>
      <c r="G369" s="6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7">
        <v>3293.85</v>
      </c>
    </row>
    <row r="370" spans="1:14" x14ac:dyDescent="0.2">
      <c r="A370" t="s">
        <v>382</v>
      </c>
      <c r="B370" s="4">
        <v>44931</v>
      </c>
      <c r="C370" s="6" t="s">
        <v>1582</v>
      </c>
      <c r="D370" t="s">
        <v>2403</v>
      </c>
      <c r="E370" s="5">
        <v>3</v>
      </c>
      <c r="F370" s="5">
        <v>271.02</v>
      </c>
      <c r="G370" s="6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4299</v>
      </c>
      <c r="M370" t="s">
        <v>4282</v>
      </c>
      <c r="N370" s="5">
        <v>813.06</v>
      </c>
    </row>
    <row r="371" spans="1:14" x14ac:dyDescent="0.2">
      <c r="A371" t="s">
        <v>383</v>
      </c>
      <c r="B371" s="5" t="s">
        <v>4342</v>
      </c>
      <c r="C371" s="6" t="s">
        <v>1583</v>
      </c>
      <c r="D371" t="s">
        <v>2403</v>
      </c>
      <c r="E371" s="5">
        <v>5</v>
      </c>
      <c r="F371" s="5">
        <v>375.25</v>
      </c>
      <c r="G371" s="6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7">
        <v>1876.25</v>
      </c>
    </row>
    <row r="372" spans="1:14" x14ac:dyDescent="0.2">
      <c r="A372" t="s">
        <v>384</v>
      </c>
      <c r="B372" s="4">
        <v>45721</v>
      </c>
      <c r="C372" s="6" t="s">
        <v>1584</v>
      </c>
      <c r="D372" t="s">
        <v>2404</v>
      </c>
      <c r="E372" s="5">
        <v>1</v>
      </c>
      <c r="F372" s="5">
        <v>312.11</v>
      </c>
      <c r="G372" s="6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5">
        <v>312.11</v>
      </c>
    </row>
    <row r="373" spans="1:14" x14ac:dyDescent="0.2">
      <c r="A373" t="s">
        <v>385</v>
      </c>
      <c r="B373" s="4">
        <v>45047</v>
      </c>
      <c r="C373" s="6" t="s">
        <v>1585</v>
      </c>
      <c r="D373" t="s">
        <v>2404</v>
      </c>
      <c r="E373" s="5">
        <v>5</v>
      </c>
      <c r="F373" s="5">
        <v>307.76</v>
      </c>
      <c r="G373" s="6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7">
        <v>1538.8</v>
      </c>
    </row>
    <row r="374" spans="1:14" x14ac:dyDescent="0.2">
      <c r="A374" t="s">
        <v>386</v>
      </c>
      <c r="B374" s="5" t="s">
        <v>4481</v>
      </c>
      <c r="C374" s="6" t="s">
        <v>1586</v>
      </c>
      <c r="D374" t="s">
        <v>2406</v>
      </c>
      <c r="E374" s="5">
        <v>3</v>
      </c>
      <c r="F374" s="5">
        <v>483.53</v>
      </c>
      <c r="G374" s="6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4299</v>
      </c>
      <c r="M374" t="s">
        <v>4279</v>
      </c>
      <c r="N374" s="7">
        <v>1450.59</v>
      </c>
    </row>
    <row r="375" spans="1:14" x14ac:dyDescent="0.2">
      <c r="A375" t="s">
        <v>387</v>
      </c>
      <c r="B375" s="4">
        <v>44958</v>
      </c>
      <c r="C375" s="6" t="s">
        <v>1587</v>
      </c>
      <c r="D375" t="s">
        <v>2408</v>
      </c>
      <c r="E375" s="5">
        <v>3</v>
      </c>
      <c r="F375" s="5">
        <v>341.15</v>
      </c>
      <c r="G375" s="6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7">
        <v>1023.45</v>
      </c>
    </row>
    <row r="376" spans="1:14" x14ac:dyDescent="0.2">
      <c r="A376" t="s">
        <v>388</v>
      </c>
      <c r="B376" s="5" t="s">
        <v>4483</v>
      </c>
      <c r="C376" s="6" t="s">
        <v>1588</v>
      </c>
      <c r="D376" t="s">
        <v>2403</v>
      </c>
      <c r="E376" s="5">
        <v>1</v>
      </c>
      <c r="F376" s="5">
        <v>571.9</v>
      </c>
      <c r="G376" s="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5">
        <v>571.9</v>
      </c>
    </row>
    <row r="377" spans="1:14" x14ac:dyDescent="0.2">
      <c r="A377" t="s">
        <v>389</v>
      </c>
      <c r="B377" s="5" t="s">
        <v>4484</v>
      </c>
      <c r="C377" s="6" t="s">
        <v>1589</v>
      </c>
      <c r="D377" t="s">
        <v>2403</v>
      </c>
      <c r="E377" s="5">
        <v>4</v>
      </c>
      <c r="F377" s="5">
        <v>95.03</v>
      </c>
      <c r="G377" s="6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5">
        <v>380.12</v>
      </c>
    </row>
    <row r="378" spans="1:14" x14ac:dyDescent="0.2">
      <c r="A378" t="s">
        <v>390</v>
      </c>
      <c r="B378" s="5" t="s">
        <v>4485</v>
      </c>
      <c r="C378" s="6" t="s">
        <v>1590</v>
      </c>
      <c r="D378" t="s">
        <v>2403</v>
      </c>
      <c r="E378" s="5">
        <v>5</v>
      </c>
      <c r="F378" s="5">
        <v>201.22</v>
      </c>
      <c r="G378" s="6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7">
        <v>1006.1</v>
      </c>
    </row>
    <row r="379" spans="1:14" x14ac:dyDescent="0.2">
      <c r="A379" t="s">
        <v>391</v>
      </c>
      <c r="B379" s="5" t="s">
        <v>4486</v>
      </c>
      <c r="C379" s="6" t="s">
        <v>1591</v>
      </c>
      <c r="D379" t="s">
        <v>2403</v>
      </c>
      <c r="E379" s="5">
        <v>1</v>
      </c>
      <c r="F379" s="5">
        <v>260.26</v>
      </c>
      <c r="G379" s="6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5">
        <v>260.26</v>
      </c>
    </row>
    <row r="380" spans="1:14" x14ac:dyDescent="0.2">
      <c r="A380" t="s">
        <v>392</v>
      </c>
      <c r="B380" s="4">
        <v>45293</v>
      </c>
      <c r="C380" s="6" t="s">
        <v>1592</v>
      </c>
      <c r="D380" t="s">
        <v>2406</v>
      </c>
      <c r="E380" s="5">
        <v>5</v>
      </c>
      <c r="F380" s="5">
        <v>64.5</v>
      </c>
      <c r="G380" s="6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5">
        <v>322.5</v>
      </c>
    </row>
    <row r="381" spans="1:14" x14ac:dyDescent="0.2">
      <c r="A381" t="s">
        <v>393</v>
      </c>
      <c r="B381" s="5" t="s">
        <v>4487</v>
      </c>
      <c r="C381" s="6" t="s">
        <v>1593</v>
      </c>
      <c r="D381" t="s">
        <v>2404</v>
      </c>
      <c r="E381" s="5">
        <v>3</v>
      </c>
      <c r="F381" s="5">
        <v>297.67</v>
      </c>
      <c r="G381" s="6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4299</v>
      </c>
      <c r="M381" t="s">
        <v>4282</v>
      </c>
      <c r="N381" s="5">
        <v>893.01</v>
      </c>
    </row>
    <row r="382" spans="1:14" x14ac:dyDescent="0.2">
      <c r="A382" t="s">
        <v>394</v>
      </c>
      <c r="B382" s="5" t="s">
        <v>4488</v>
      </c>
      <c r="C382" s="6" t="s">
        <v>1594</v>
      </c>
      <c r="D382" t="s">
        <v>2407</v>
      </c>
      <c r="E382" s="5">
        <v>4</v>
      </c>
      <c r="F382" s="5">
        <v>331.9</v>
      </c>
      <c r="G382" s="6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7">
        <v>1327.6</v>
      </c>
    </row>
    <row r="383" spans="1:14" x14ac:dyDescent="0.2">
      <c r="A383" t="s">
        <v>395</v>
      </c>
      <c r="B383" s="4">
        <v>45113</v>
      </c>
      <c r="C383" s="6" t="s">
        <v>1595</v>
      </c>
      <c r="D383" t="s">
        <v>2406</v>
      </c>
      <c r="E383" s="5">
        <v>1</v>
      </c>
      <c r="F383" s="5">
        <v>191.76</v>
      </c>
      <c r="G383" s="6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5">
        <v>191.76</v>
      </c>
    </row>
    <row r="384" spans="1:14" x14ac:dyDescent="0.2">
      <c r="A384" t="s">
        <v>396</v>
      </c>
      <c r="B384" s="5" t="s">
        <v>4489</v>
      </c>
      <c r="C384" s="6" t="s">
        <v>1596</v>
      </c>
      <c r="D384" t="s">
        <v>2407</v>
      </c>
      <c r="E384" s="5">
        <v>4</v>
      </c>
      <c r="F384" s="5">
        <v>263.08999999999997</v>
      </c>
      <c r="G384" s="6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7">
        <v>1052.3599999999999</v>
      </c>
    </row>
    <row r="385" spans="1:14" x14ac:dyDescent="0.2">
      <c r="A385" t="s">
        <v>397</v>
      </c>
      <c r="B385" s="5" t="s">
        <v>4490</v>
      </c>
      <c r="C385" s="6" t="s">
        <v>1597</v>
      </c>
      <c r="D385" t="s">
        <v>2406</v>
      </c>
      <c r="E385" s="5">
        <v>4</v>
      </c>
      <c r="F385" s="5">
        <v>393.8</v>
      </c>
      <c r="G385" s="6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7">
        <v>1575.2</v>
      </c>
    </row>
    <row r="386" spans="1:14" x14ac:dyDescent="0.2">
      <c r="A386" t="s">
        <v>398</v>
      </c>
      <c r="B386" s="5" t="s">
        <v>4400</v>
      </c>
      <c r="C386" s="6" t="s">
        <v>1598</v>
      </c>
      <c r="D386" t="s">
        <v>2406</v>
      </c>
      <c r="E386" s="5">
        <v>3</v>
      </c>
      <c r="F386" s="5">
        <v>553.57000000000005</v>
      </c>
      <c r="G386" s="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7">
        <v>1660.71</v>
      </c>
    </row>
    <row r="387" spans="1:14" x14ac:dyDescent="0.2">
      <c r="A387" t="s">
        <v>399</v>
      </c>
      <c r="B387" s="5" t="s">
        <v>4391</v>
      </c>
      <c r="C387" s="6" t="s">
        <v>1599</v>
      </c>
      <c r="D387" t="s">
        <v>2406</v>
      </c>
      <c r="E387" s="5">
        <v>5</v>
      </c>
      <c r="F387" s="5">
        <v>191.63</v>
      </c>
      <c r="G387" s="6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5">
        <v>958.15</v>
      </c>
    </row>
    <row r="388" spans="1:14" x14ac:dyDescent="0.2">
      <c r="A388" t="s">
        <v>400</v>
      </c>
      <c r="B388" s="5" t="s">
        <v>4418</v>
      </c>
      <c r="C388" s="6" t="s">
        <v>1600</v>
      </c>
      <c r="D388" t="s">
        <v>2405</v>
      </c>
      <c r="E388" s="5">
        <v>1</v>
      </c>
      <c r="F388" s="5">
        <v>93.02</v>
      </c>
      <c r="G388" s="6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4299</v>
      </c>
      <c r="M388" t="s">
        <v>4280</v>
      </c>
      <c r="N388" s="5">
        <v>93.02</v>
      </c>
    </row>
    <row r="389" spans="1:14" x14ac:dyDescent="0.2">
      <c r="A389" t="s">
        <v>401</v>
      </c>
      <c r="B389" s="5" t="s">
        <v>4491</v>
      </c>
      <c r="C389" s="6" t="s">
        <v>1601</v>
      </c>
      <c r="D389" t="s">
        <v>2407</v>
      </c>
      <c r="E389" s="5">
        <v>2</v>
      </c>
      <c r="F389" s="5">
        <v>39.53</v>
      </c>
      <c r="G389" s="6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5">
        <v>79.06</v>
      </c>
    </row>
    <row r="390" spans="1:14" x14ac:dyDescent="0.2">
      <c r="A390" t="s">
        <v>402</v>
      </c>
      <c r="B390" s="5" t="s">
        <v>4394</v>
      </c>
      <c r="C390" s="6" t="s">
        <v>1602</v>
      </c>
      <c r="D390" t="s">
        <v>2407</v>
      </c>
      <c r="E390" s="5">
        <v>3</v>
      </c>
      <c r="F390" s="5">
        <v>633.97</v>
      </c>
      <c r="G390" s="6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7">
        <v>1901.91</v>
      </c>
    </row>
    <row r="391" spans="1:14" x14ac:dyDescent="0.2">
      <c r="A391" t="s">
        <v>403</v>
      </c>
      <c r="B391" s="5" t="s">
        <v>4492</v>
      </c>
      <c r="C391" s="6" t="s">
        <v>1603</v>
      </c>
      <c r="D391" t="s">
        <v>2409</v>
      </c>
      <c r="E391" s="5">
        <v>4</v>
      </c>
      <c r="F391" s="5">
        <v>697.5</v>
      </c>
      <c r="G391" s="6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7">
        <v>2790</v>
      </c>
    </row>
    <row r="392" spans="1:14" x14ac:dyDescent="0.2">
      <c r="A392" t="s">
        <v>404</v>
      </c>
      <c r="B392" s="5" t="s">
        <v>4493</v>
      </c>
      <c r="C392" s="6" t="s">
        <v>1604</v>
      </c>
      <c r="D392" t="s">
        <v>2407</v>
      </c>
      <c r="E392" s="5">
        <v>5</v>
      </c>
      <c r="F392" s="5">
        <v>508.69</v>
      </c>
      <c r="G392" s="6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7">
        <v>2543.4499999999998</v>
      </c>
    </row>
    <row r="393" spans="1:14" x14ac:dyDescent="0.2">
      <c r="A393" t="s">
        <v>405</v>
      </c>
      <c r="B393" s="5" t="s">
        <v>4484</v>
      </c>
      <c r="C393" s="6" t="s">
        <v>1605</v>
      </c>
      <c r="D393" t="s">
        <v>2408</v>
      </c>
      <c r="E393" s="5">
        <v>2</v>
      </c>
      <c r="F393" s="5">
        <v>527.46</v>
      </c>
      <c r="G393" s="6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7">
        <v>1054.92</v>
      </c>
    </row>
    <row r="394" spans="1:14" x14ac:dyDescent="0.2">
      <c r="A394" t="s">
        <v>406</v>
      </c>
      <c r="B394" s="5" t="s">
        <v>4494</v>
      </c>
      <c r="C394" s="6" t="s">
        <v>1606</v>
      </c>
      <c r="D394" t="s">
        <v>2404</v>
      </c>
      <c r="E394" s="5">
        <v>1</v>
      </c>
      <c r="F394" s="5">
        <v>627.20000000000005</v>
      </c>
      <c r="G394" s="6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5">
        <v>627.20000000000005</v>
      </c>
    </row>
    <row r="395" spans="1:14" x14ac:dyDescent="0.2">
      <c r="A395" t="s">
        <v>407</v>
      </c>
      <c r="B395" s="5" t="s">
        <v>4495</v>
      </c>
      <c r="C395" s="6" t="s">
        <v>1607</v>
      </c>
      <c r="D395" t="s">
        <v>2407</v>
      </c>
      <c r="E395" s="5">
        <v>1</v>
      </c>
      <c r="F395" s="5">
        <v>75.010000000000005</v>
      </c>
      <c r="G395" s="6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4299</v>
      </c>
      <c r="M395" t="s">
        <v>4282</v>
      </c>
      <c r="N395" s="5">
        <v>75.010000000000005</v>
      </c>
    </row>
    <row r="396" spans="1:14" x14ac:dyDescent="0.2">
      <c r="A396" t="s">
        <v>408</v>
      </c>
      <c r="B396" s="4">
        <v>45053</v>
      </c>
      <c r="C396" s="6" t="s">
        <v>1608</v>
      </c>
      <c r="D396" t="s">
        <v>2409</v>
      </c>
      <c r="E396" s="5">
        <v>5</v>
      </c>
      <c r="F396" s="5">
        <v>529.54999999999995</v>
      </c>
      <c r="G396" s="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4299</v>
      </c>
      <c r="M396" t="s">
        <v>4281</v>
      </c>
      <c r="N396" s="7">
        <v>2647.75</v>
      </c>
    </row>
    <row r="397" spans="1:14" x14ac:dyDescent="0.2">
      <c r="A397" t="s">
        <v>409</v>
      </c>
      <c r="B397" s="5" t="s">
        <v>4496</v>
      </c>
      <c r="C397" s="6" t="s">
        <v>1609</v>
      </c>
      <c r="D397" t="s">
        <v>2404</v>
      </c>
      <c r="E397" s="5">
        <v>3</v>
      </c>
      <c r="F397" s="5">
        <v>127.41</v>
      </c>
      <c r="G397" s="6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5">
        <v>382.23</v>
      </c>
    </row>
    <row r="398" spans="1:14" x14ac:dyDescent="0.2">
      <c r="A398" t="s">
        <v>410</v>
      </c>
      <c r="B398" s="4">
        <v>44938</v>
      </c>
      <c r="C398" s="6" t="s">
        <v>1610</v>
      </c>
      <c r="D398" t="s">
        <v>2405</v>
      </c>
      <c r="E398" s="5">
        <v>5</v>
      </c>
      <c r="F398" s="5">
        <v>287.13</v>
      </c>
      <c r="G398" s="6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7">
        <v>1435.65</v>
      </c>
    </row>
    <row r="399" spans="1:14" x14ac:dyDescent="0.2">
      <c r="A399" t="s">
        <v>411</v>
      </c>
      <c r="B399" s="5" t="s">
        <v>4497</v>
      </c>
      <c r="C399" s="6" t="s">
        <v>1611</v>
      </c>
      <c r="D399" t="s">
        <v>2403</v>
      </c>
      <c r="E399" s="5">
        <v>1</v>
      </c>
      <c r="F399" s="5">
        <v>427.06</v>
      </c>
      <c r="G399" s="6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5">
        <v>427.06</v>
      </c>
    </row>
    <row r="400" spans="1:14" x14ac:dyDescent="0.2">
      <c r="A400" t="s">
        <v>412</v>
      </c>
      <c r="B400" s="4">
        <v>45391</v>
      </c>
      <c r="C400" s="6" t="s">
        <v>1612</v>
      </c>
      <c r="D400" t="s">
        <v>2404</v>
      </c>
      <c r="E400" s="5">
        <v>5</v>
      </c>
      <c r="F400" s="5">
        <v>53.93</v>
      </c>
      <c r="G400" s="6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5">
        <v>269.64999999999998</v>
      </c>
    </row>
    <row r="401" spans="1:14" x14ac:dyDescent="0.2">
      <c r="A401" t="s">
        <v>413</v>
      </c>
      <c r="B401" s="4">
        <v>45474</v>
      </c>
      <c r="C401" s="6" t="s">
        <v>1613</v>
      </c>
      <c r="D401" t="s">
        <v>2405</v>
      </c>
      <c r="E401" s="5">
        <v>5</v>
      </c>
      <c r="F401" s="5">
        <v>423.93</v>
      </c>
      <c r="G401" s="6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7">
        <v>2119.65</v>
      </c>
    </row>
    <row r="402" spans="1:14" x14ac:dyDescent="0.2">
      <c r="A402" t="s">
        <v>414</v>
      </c>
      <c r="B402" s="5" t="s">
        <v>4498</v>
      </c>
      <c r="C402" s="6" t="s">
        <v>1614</v>
      </c>
      <c r="D402" t="s">
        <v>2409</v>
      </c>
      <c r="E402" s="5">
        <v>4</v>
      </c>
      <c r="F402" s="5">
        <v>160.22</v>
      </c>
      <c r="G402" s="6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5">
        <v>640.88</v>
      </c>
    </row>
    <row r="403" spans="1:14" x14ac:dyDescent="0.2">
      <c r="A403" t="s">
        <v>415</v>
      </c>
      <c r="B403" s="4">
        <v>45904</v>
      </c>
      <c r="C403" s="6" t="s">
        <v>1615</v>
      </c>
      <c r="D403" t="s">
        <v>2407</v>
      </c>
      <c r="E403" s="5">
        <v>1</v>
      </c>
      <c r="F403" s="5">
        <v>538.67999999999995</v>
      </c>
      <c r="G403" s="6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4299</v>
      </c>
      <c r="M403" t="s">
        <v>4279</v>
      </c>
      <c r="N403" s="5">
        <v>538.67999999999995</v>
      </c>
    </row>
    <row r="404" spans="1:14" x14ac:dyDescent="0.2">
      <c r="A404" t="s">
        <v>416</v>
      </c>
      <c r="B404" s="4">
        <v>45173</v>
      </c>
      <c r="C404" s="6" t="s">
        <v>1616</v>
      </c>
      <c r="D404" t="s">
        <v>2407</v>
      </c>
      <c r="E404" s="5">
        <v>5</v>
      </c>
      <c r="F404" s="5">
        <v>337.38</v>
      </c>
      <c r="G404" s="6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4299</v>
      </c>
      <c r="M404" t="s">
        <v>4279</v>
      </c>
      <c r="N404" s="7">
        <v>1686.9</v>
      </c>
    </row>
    <row r="405" spans="1:14" x14ac:dyDescent="0.2">
      <c r="A405" t="s">
        <v>417</v>
      </c>
      <c r="B405" s="4">
        <v>45576</v>
      </c>
      <c r="C405" s="6" t="s">
        <v>1617</v>
      </c>
      <c r="D405" t="s">
        <v>2405</v>
      </c>
      <c r="E405" s="5">
        <v>1</v>
      </c>
      <c r="F405" s="5">
        <v>620.21</v>
      </c>
      <c r="G405" s="6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5">
        <v>620.21</v>
      </c>
    </row>
    <row r="406" spans="1:14" x14ac:dyDescent="0.2">
      <c r="A406" t="s">
        <v>418</v>
      </c>
      <c r="B406" s="4">
        <v>45172</v>
      </c>
      <c r="C406" s="6" t="s">
        <v>1618</v>
      </c>
      <c r="D406" t="s">
        <v>2403</v>
      </c>
      <c r="E406" s="5">
        <v>2</v>
      </c>
      <c r="F406" s="5">
        <v>99.1</v>
      </c>
      <c r="G406" s="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4299</v>
      </c>
      <c r="M406" t="s">
        <v>4278</v>
      </c>
      <c r="N406" s="5">
        <v>198.2</v>
      </c>
    </row>
    <row r="407" spans="1:14" x14ac:dyDescent="0.2">
      <c r="A407" t="s">
        <v>419</v>
      </c>
      <c r="B407" s="5" t="s">
        <v>4467</v>
      </c>
      <c r="C407" s="6" t="s">
        <v>1619</v>
      </c>
      <c r="D407" t="s">
        <v>2403</v>
      </c>
      <c r="E407" s="5">
        <v>4</v>
      </c>
      <c r="F407" s="5">
        <v>451.97</v>
      </c>
      <c r="G407" s="6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7">
        <v>1807.88</v>
      </c>
    </row>
    <row r="408" spans="1:14" x14ac:dyDescent="0.2">
      <c r="A408" t="s">
        <v>420</v>
      </c>
      <c r="B408" s="4">
        <v>45211</v>
      </c>
      <c r="C408" s="6" t="s">
        <v>1620</v>
      </c>
      <c r="D408" t="s">
        <v>2405</v>
      </c>
      <c r="E408" s="5">
        <v>4</v>
      </c>
      <c r="F408" s="5">
        <v>66.099999999999994</v>
      </c>
      <c r="G408" s="6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5">
        <v>264.39999999999998</v>
      </c>
    </row>
    <row r="409" spans="1:14" x14ac:dyDescent="0.2">
      <c r="A409" t="s">
        <v>421</v>
      </c>
      <c r="B409" s="5" t="s">
        <v>4499</v>
      </c>
      <c r="C409" s="6" t="s">
        <v>1621</v>
      </c>
      <c r="D409" t="s">
        <v>2405</v>
      </c>
      <c r="E409" s="5">
        <v>4</v>
      </c>
      <c r="F409" s="5">
        <v>547.32000000000005</v>
      </c>
      <c r="G409" s="6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7">
        <v>2189.2800000000002</v>
      </c>
    </row>
    <row r="410" spans="1:14" x14ac:dyDescent="0.2">
      <c r="A410" t="s">
        <v>422</v>
      </c>
      <c r="B410" s="4">
        <v>45658</v>
      </c>
      <c r="C410" s="6" t="s">
        <v>1622</v>
      </c>
      <c r="D410" t="s">
        <v>2407</v>
      </c>
      <c r="E410" s="5">
        <v>3</v>
      </c>
      <c r="F410" s="5">
        <v>412.53</v>
      </c>
      <c r="G410" s="6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7">
        <v>1237.5899999999999</v>
      </c>
    </row>
    <row r="411" spans="1:14" x14ac:dyDescent="0.2">
      <c r="A411" t="s">
        <v>423</v>
      </c>
      <c r="B411" s="5" t="s">
        <v>4500</v>
      </c>
      <c r="C411" s="6" t="s">
        <v>1623</v>
      </c>
      <c r="D411" t="s">
        <v>2409</v>
      </c>
      <c r="E411" s="5">
        <v>5</v>
      </c>
      <c r="F411" s="5">
        <v>84.13</v>
      </c>
      <c r="G411" s="6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5">
        <v>420.65</v>
      </c>
    </row>
    <row r="412" spans="1:14" x14ac:dyDescent="0.2">
      <c r="A412" t="s">
        <v>424</v>
      </c>
      <c r="B412" s="5" t="s">
        <v>4501</v>
      </c>
      <c r="C412" s="6" t="s">
        <v>1624</v>
      </c>
      <c r="D412" t="s">
        <v>2405</v>
      </c>
      <c r="E412" s="5">
        <v>2</v>
      </c>
      <c r="F412" s="5">
        <v>518.23</v>
      </c>
      <c r="G412" s="6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4299</v>
      </c>
      <c r="M412" t="s">
        <v>4280</v>
      </c>
      <c r="N412" s="7">
        <v>1036.46</v>
      </c>
    </row>
    <row r="413" spans="1:14" x14ac:dyDescent="0.2">
      <c r="A413" t="s">
        <v>425</v>
      </c>
      <c r="B413" s="5" t="s">
        <v>4349</v>
      </c>
      <c r="C413" s="6" t="s">
        <v>1625</v>
      </c>
      <c r="D413" t="s">
        <v>2409</v>
      </c>
      <c r="E413" s="5">
        <v>2</v>
      </c>
      <c r="F413" s="5">
        <v>39.51</v>
      </c>
      <c r="G413" s="6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4299</v>
      </c>
      <c r="M413" t="s">
        <v>4281</v>
      </c>
      <c r="N413" s="5">
        <v>79.02</v>
      </c>
    </row>
    <row r="414" spans="1:14" x14ac:dyDescent="0.2">
      <c r="A414" t="s">
        <v>426</v>
      </c>
      <c r="B414" s="4">
        <v>45965</v>
      </c>
      <c r="C414" s="6" t="s">
        <v>1626</v>
      </c>
      <c r="D414" t="s">
        <v>2405</v>
      </c>
      <c r="E414" s="5">
        <v>5</v>
      </c>
      <c r="F414" s="5">
        <v>133.01</v>
      </c>
      <c r="G414" s="6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4299</v>
      </c>
      <c r="M414" t="s">
        <v>4281</v>
      </c>
      <c r="N414" s="5">
        <v>665.05</v>
      </c>
    </row>
    <row r="415" spans="1:14" x14ac:dyDescent="0.2">
      <c r="A415" t="s">
        <v>427</v>
      </c>
      <c r="B415" s="4">
        <v>45148</v>
      </c>
      <c r="C415" s="6" t="s">
        <v>1627</v>
      </c>
      <c r="D415" t="s">
        <v>2405</v>
      </c>
      <c r="E415" s="5">
        <v>1</v>
      </c>
      <c r="F415" s="5">
        <v>118.8</v>
      </c>
      <c r="G415" s="6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5">
        <v>118.8</v>
      </c>
    </row>
    <row r="416" spans="1:14" x14ac:dyDescent="0.2">
      <c r="A416" t="s">
        <v>428</v>
      </c>
      <c r="B416" s="4">
        <v>45752</v>
      </c>
      <c r="C416" s="6" t="s">
        <v>1628</v>
      </c>
      <c r="D416" t="s">
        <v>2409</v>
      </c>
      <c r="E416" s="5">
        <v>2</v>
      </c>
      <c r="F416" s="5">
        <v>139.57</v>
      </c>
      <c r="G416" s="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5">
        <v>279.14</v>
      </c>
    </row>
    <row r="417" spans="1:14" x14ac:dyDescent="0.2">
      <c r="A417" t="s">
        <v>429</v>
      </c>
      <c r="B417" s="4">
        <v>45812</v>
      </c>
      <c r="C417" s="6" t="s">
        <v>1629</v>
      </c>
      <c r="D417" t="s">
        <v>2406</v>
      </c>
      <c r="E417" s="5">
        <v>1</v>
      </c>
      <c r="F417" s="5">
        <v>184.15</v>
      </c>
      <c r="G417" s="6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5">
        <v>184.15</v>
      </c>
    </row>
    <row r="418" spans="1:14" x14ac:dyDescent="0.2">
      <c r="A418" t="s">
        <v>430</v>
      </c>
      <c r="B418" s="5" t="s">
        <v>4419</v>
      </c>
      <c r="C418" s="6" t="s">
        <v>1630</v>
      </c>
      <c r="D418" t="s">
        <v>2408</v>
      </c>
      <c r="E418" s="5">
        <v>2</v>
      </c>
      <c r="F418" s="5">
        <v>644.04999999999995</v>
      </c>
      <c r="G418" s="6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7">
        <v>1288.0999999999999</v>
      </c>
    </row>
    <row r="419" spans="1:14" x14ac:dyDescent="0.2">
      <c r="A419" t="s">
        <v>431</v>
      </c>
      <c r="B419" s="5" t="s">
        <v>4502</v>
      </c>
      <c r="C419" s="6" t="s">
        <v>1631</v>
      </c>
      <c r="D419" t="s">
        <v>2408</v>
      </c>
      <c r="E419" s="5">
        <v>5</v>
      </c>
      <c r="F419" s="5">
        <v>55.41</v>
      </c>
      <c r="G419" s="6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4299</v>
      </c>
      <c r="M419" t="s">
        <v>4282</v>
      </c>
      <c r="N419" s="5">
        <v>277.05</v>
      </c>
    </row>
    <row r="420" spans="1:14" x14ac:dyDescent="0.2">
      <c r="A420" t="s">
        <v>432</v>
      </c>
      <c r="B420" s="4">
        <v>45231</v>
      </c>
      <c r="C420" s="6" t="s">
        <v>1632</v>
      </c>
      <c r="D420" t="s">
        <v>2407</v>
      </c>
      <c r="E420" s="5">
        <v>1</v>
      </c>
      <c r="F420" s="5">
        <v>310.93</v>
      </c>
      <c r="G420" s="6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4299</v>
      </c>
      <c r="M420" t="s">
        <v>4281</v>
      </c>
      <c r="N420" s="5">
        <v>310.93</v>
      </c>
    </row>
    <row r="421" spans="1:14" x14ac:dyDescent="0.2">
      <c r="A421" t="s">
        <v>433</v>
      </c>
      <c r="B421" s="5" t="s">
        <v>4503</v>
      </c>
      <c r="C421" s="6" t="s">
        <v>1633</v>
      </c>
      <c r="D421" t="s">
        <v>2405</v>
      </c>
      <c r="E421" s="5">
        <v>2</v>
      </c>
      <c r="F421" s="5">
        <v>216.66</v>
      </c>
      <c r="G421" s="6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5">
        <v>433.32</v>
      </c>
    </row>
    <row r="422" spans="1:14" x14ac:dyDescent="0.2">
      <c r="A422" t="s">
        <v>434</v>
      </c>
      <c r="B422" s="5" t="s">
        <v>4504</v>
      </c>
      <c r="C422" s="6" t="s">
        <v>1634</v>
      </c>
      <c r="D422" t="s">
        <v>2404</v>
      </c>
      <c r="E422" s="5">
        <v>1</v>
      </c>
      <c r="F422" s="5">
        <v>452.7</v>
      </c>
      <c r="G422" s="6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5">
        <v>452.7</v>
      </c>
    </row>
    <row r="423" spans="1:14" x14ac:dyDescent="0.2">
      <c r="A423" t="s">
        <v>435</v>
      </c>
      <c r="B423" s="5" t="s">
        <v>4296</v>
      </c>
      <c r="C423" s="6" t="s">
        <v>1635</v>
      </c>
      <c r="D423" t="s">
        <v>2406</v>
      </c>
      <c r="E423" s="5">
        <v>2</v>
      </c>
      <c r="F423" s="5">
        <v>288.20999999999998</v>
      </c>
      <c r="G423" s="6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4299</v>
      </c>
      <c r="M423" t="s">
        <v>4280</v>
      </c>
      <c r="N423" s="5">
        <v>576.41999999999996</v>
      </c>
    </row>
    <row r="424" spans="1:14" x14ac:dyDescent="0.2">
      <c r="A424" t="s">
        <v>436</v>
      </c>
      <c r="B424" s="4">
        <v>45052</v>
      </c>
      <c r="C424" s="6" t="s">
        <v>1636</v>
      </c>
      <c r="D424" t="s">
        <v>2404</v>
      </c>
      <c r="E424" s="5">
        <v>4</v>
      </c>
      <c r="F424" s="5">
        <v>206.6</v>
      </c>
      <c r="G424" s="6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5">
        <v>826.4</v>
      </c>
    </row>
    <row r="425" spans="1:14" x14ac:dyDescent="0.2">
      <c r="A425" t="s">
        <v>437</v>
      </c>
      <c r="B425" s="5" t="s">
        <v>4505</v>
      </c>
      <c r="C425" s="6" t="s">
        <v>1637</v>
      </c>
      <c r="D425" t="s">
        <v>2407</v>
      </c>
      <c r="E425" s="5">
        <v>4</v>
      </c>
      <c r="F425" s="5">
        <v>685.2</v>
      </c>
      <c r="G425" s="6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7">
        <v>2740.8</v>
      </c>
    </row>
    <row r="426" spans="1:14" x14ac:dyDescent="0.2">
      <c r="A426" t="s">
        <v>438</v>
      </c>
      <c r="B426" s="4">
        <v>45264</v>
      </c>
      <c r="C426" s="6" t="s">
        <v>1638</v>
      </c>
      <c r="D426" t="s">
        <v>2406</v>
      </c>
      <c r="E426" s="5">
        <v>5</v>
      </c>
      <c r="F426" s="5">
        <v>22.94</v>
      </c>
      <c r="G426" s="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4299</v>
      </c>
      <c r="M426" t="s">
        <v>4280</v>
      </c>
      <c r="N426" s="5">
        <v>114.7</v>
      </c>
    </row>
    <row r="427" spans="1:14" x14ac:dyDescent="0.2">
      <c r="A427" t="s">
        <v>439</v>
      </c>
      <c r="B427" s="4">
        <v>45172</v>
      </c>
      <c r="C427" s="6" t="s">
        <v>1639</v>
      </c>
      <c r="D427" t="s">
        <v>2408</v>
      </c>
      <c r="E427" s="5">
        <v>2</v>
      </c>
      <c r="F427" s="5">
        <v>301.88</v>
      </c>
      <c r="G427" s="6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5">
        <v>603.76</v>
      </c>
    </row>
    <row r="428" spans="1:14" x14ac:dyDescent="0.2">
      <c r="A428" t="s">
        <v>440</v>
      </c>
      <c r="B428" s="5" t="s">
        <v>4506</v>
      </c>
      <c r="C428" s="6" t="s">
        <v>1640</v>
      </c>
      <c r="D428" t="s">
        <v>2403</v>
      </c>
      <c r="E428" s="5">
        <v>5</v>
      </c>
      <c r="F428" s="5">
        <v>57.45</v>
      </c>
      <c r="G428" s="6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4299</v>
      </c>
      <c r="M428" t="s">
        <v>4281</v>
      </c>
      <c r="N428" s="5">
        <v>287.25</v>
      </c>
    </row>
    <row r="429" spans="1:14" x14ac:dyDescent="0.2">
      <c r="A429" t="s">
        <v>441</v>
      </c>
      <c r="B429" s="5" t="s">
        <v>4386</v>
      </c>
      <c r="C429" s="6" t="s">
        <v>1641</v>
      </c>
      <c r="D429" t="s">
        <v>2409</v>
      </c>
      <c r="E429" s="5">
        <v>1</v>
      </c>
      <c r="F429" s="5">
        <v>161.24</v>
      </c>
      <c r="G429" s="6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5">
        <v>161.24</v>
      </c>
    </row>
    <row r="430" spans="1:14" x14ac:dyDescent="0.2">
      <c r="A430" t="s">
        <v>442</v>
      </c>
      <c r="B430" s="5" t="s">
        <v>4377</v>
      </c>
      <c r="C430" s="6" t="s">
        <v>1642</v>
      </c>
      <c r="D430" t="s">
        <v>2406</v>
      </c>
      <c r="E430" s="5">
        <v>4</v>
      </c>
      <c r="F430" s="5">
        <v>262.58</v>
      </c>
      <c r="G430" s="6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7">
        <v>1050.32</v>
      </c>
    </row>
    <row r="431" spans="1:14" x14ac:dyDescent="0.2">
      <c r="A431" t="s">
        <v>443</v>
      </c>
      <c r="B431" s="5" t="s">
        <v>4319</v>
      </c>
      <c r="C431" s="6" t="s">
        <v>1643</v>
      </c>
      <c r="D431" t="s">
        <v>2407</v>
      </c>
      <c r="E431" s="5">
        <v>4</v>
      </c>
      <c r="F431" s="5">
        <v>515.19000000000005</v>
      </c>
      <c r="G431" s="6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7">
        <v>2060.7600000000002</v>
      </c>
    </row>
    <row r="432" spans="1:14" x14ac:dyDescent="0.2">
      <c r="A432" t="s">
        <v>444</v>
      </c>
      <c r="B432" s="4">
        <v>45113</v>
      </c>
      <c r="C432" s="6" t="s">
        <v>1644</v>
      </c>
      <c r="D432" t="s">
        <v>2404</v>
      </c>
      <c r="E432" s="5">
        <v>1</v>
      </c>
      <c r="F432" s="5">
        <v>450.07</v>
      </c>
      <c r="G432" s="6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5">
        <v>450.07</v>
      </c>
    </row>
    <row r="433" spans="1:14" x14ac:dyDescent="0.2">
      <c r="A433" t="s">
        <v>445</v>
      </c>
      <c r="B433" s="4">
        <v>45453</v>
      </c>
      <c r="C433" s="6" t="s">
        <v>1645</v>
      </c>
      <c r="D433" t="s">
        <v>2407</v>
      </c>
      <c r="E433" s="5">
        <v>1</v>
      </c>
      <c r="F433" s="5">
        <v>52.54</v>
      </c>
      <c r="G433" s="6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5">
        <v>52.54</v>
      </c>
    </row>
    <row r="434" spans="1:14" x14ac:dyDescent="0.2">
      <c r="A434" t="s">
        <v>446</v>
      </c>
      <c r="B434" s="4">
        <v>45025</v>
      </c>
      <c r="C434" s="6" t="s">
        <v>1646</v>
      </c>
      <c r="D434" t="s">
        <v>2405</v>
      </c>
      <c r="E434" s="5">
        <v>2</v>
      </c>
      <c r="F434" s="5">
        <v>424.32</v>
      </c>
      <c r="G434" s="6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4299</v>
      </c>
      <c r="M434" t="s">
        <v>4279</v>
      </c>
      <c r="N434" s="5">
        <v>848.64</v>
      </c>
    </row>
    <row r="435" spans="1:14" x14ac:dyDescent="0.2">
      <c r="A435" t="s">
        <v>447</v>
      </c>
      <c r="B435" s="5" t="s">
        <v>4326</v>
      </c>
      <c r="C435" s="6" t="s">
        <v>1647</v>
      </c>
      <c r="D435" t="s">
        <v>2403</v>
      </c>
      <c r="E435" s="5">
        <v>3</v>
      </c>
      <c r="F435" s="5">
        <v>631.64</v>
      </c>
      <c r="G435" s="6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7">
        <v>1894.92</v>
      </c>
    </row>
    <row r="436" spans="1:14" x14ac:dyDescent="0.2">
      <c r="A436" t="s">
        <v>448</v>
      </c>
      <c r="B436" s="5" t="s">
        <v>4507</v>
      </c>
      <c r="C436" s="6" t="s">
        <v>1648</v>
      </c>
      <c r="D436" t="s">
        <v>2407</v>
      </c>
      <c r="E436" s="5">
        <v>5</v>
      </c>
      <c r="F436" s="5">
        <v>327.68</v>
      </c>
      <c r="G436" s="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4299</v>
      </c>
      <c r="M436" t="s">
        <v>4281</v>
      </c>
      <c r="N436" s="7">
        <v>1638.4</v>
      </c>
    </row>
    <row r="437" spans="1:14" x14ac:dyDescent="0.2">
      <c r="A437" t="s">
        <v>449</v>
      </c>
      <c r="B437" s="5" t="s">
        <v>4396</v>
      </c>
      <c r="C437" s="6" t="s">
        <v>1649</v>
      </c>
      <c r="D437" t="s">
        <v>2407</v>
      </c>
      <c r="E437" s="5">
        <v>1</v>
      </c>
      <c r="F437" s="5">
        <v>414.47</v>
      </c>
      <c r="G437" s="6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5">
        <v>414.47</v>
      </c>
    </row>
    <row r="438" spans="1:14" x14ac:dyDescent="0.2">
      <c r="A438" t="s">
        <v>450</v>
      </c>
      <c r="B438" s="4">
        <v>45232</v>
      </c>
      <c r="C438" s="6" t="s">
        <v>1650</v>
      </c>
      <c r="D438" t="s">
        <v>2408</v>
      </c>
      <c r="E438" s="5">
        <v>4</v>
      </c>
      <c r="F438" s="5">
        <v>221.33</v>
      </c>
      <c r="G438" s="6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4299</v>
      </c>
      <c r="M438" t="s">
        <v>4282</v>
      </c>
      <c r="N438" s="5">
        <v>885.32</v>
      </c>
    </row>
    <row r="439" spans="1:14" x14ac:dyDescent="0.2">
      <c r="A439" t="s">
        <v>451</v>
      </c>
      <c r="B439" s="5" t="s">
        <v>4404</v>
      </c>
      <c r="C439" s="6" t="s">
        <v>1651</v>
      </c>
      <c r="D439" t="s">
        <v>2404</v>
      </c>
      <c r="E439" s="5">
        <v>1</v>
      </c>
      <c r="F439" s="5">
        <v>512.39</v>
      </c>
      <c r="G439" s="6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5">
        <v>512.39</v>
      </c>
    </row>
    <row r="440" spans="1:14" x14ac:dyDescent="0.2">
      <c r="A440" t="s">
        <v>452</v>
      </c>
      <c r="B440" s="4">
        <v>45717</v>
      </c>
      <c r="C440" s="6" t="s">
        <v>1652</v>
      </c>
      <c r="D440" t="s">
        <v>2405</v>
      </c>
      <c r="E440" s="5">
        <v>3</v>
      </c>
      <c r="F440" s="5">
        <v>459.34</v>
      </c>
      <c r="G440" s="6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7">
        <v>1378.02</v>
      </c>
    </row>
    <row r="441" spans="1:14" x14ac:dyDescent="0.2">
      <c r="A441" t="s">
        <v>453</v>
      </c>
      <c r="B441" s="4">
        <v>45513</v>
      </c>
      <c r="C441" s="6" t="s">
        <v>1653</v>
      </c>
      <c r="D441" t="s">
        <v>2405</v>
      </c>
      <c r="E441" s="5">
        <v>1</v>
      </c>
      <c r="F441" s="5">
        <v>146.32</v>
      </c>
      <c r="G441" s="6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5">
        <v>146.32</v>
      </c>
    </row>
    <row r="442" spans="1:14" x14ac:dyDescent="0.2">
      <c r="A442" t="s">
        <v>454</v>
      </c>
      <c r="B442" s="4">
        <v>45423</v>
      </c>
      <c r="C442" s="6" t="s">
        <v>1654</v>
      </c>
      <c r="D442" t="s">
        <v>2409</v>
      </c>
      <c r="E442" s="5">
        <v>4</v>
      </c>
      <c r="F442" s="5">
        <v>83.6</v>
      </c>
      <c r="G442" s="6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5">
        <v>334.4</v>
      </c>
    </row>
    <row r="443" spans="1:14" x14ac:dyDescent="0.2">
      <c r="A443" t="s">
        <v>455</v>
      </c>
      <c r="B443" s="5" t="s">
        <v>4385</v>
      </c>
      <c r="C443" s="6" t="s">
        <v>1655</v>
      </c>
      <c r="D443" t="s">
        <v>2407</v>
      </c>
      <c r="E443" s="5">
        <v>2</v>
      </c>
      <c r="F443" s="5">
        <v>328.54</v>
      </c>
      <c r="G443" s="6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5">
        <v>657.08</v>
      </c>
    </row>
    <row r="444" spans="1:14" x14ac:dyDescent="0.2">
      <c r="A444" t="s">
        <v>456</v>
      </c>
      <c r="B444" s="4">
        <v>45448</v>
      </c>
      <c r="C444" s="6" t="s">
        <v>1656</v>
      </c>
      <c r="D444" t="s">
        <v>2406</v>
      </c>
      <c r="E444" s="5">
        <v>5</v>
      </c>
      <c r="F444" s="5">
        <v>314.94</v>
      </c>
      <c r="G444" s="6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7">
        <v>1574.7</v>
      </c>
    </row>
    <row r="445" spans="1:14" x14ac:dyDescent="0.2">
      <c r="A445" t="s">
        <v>457</v>
      </c>
      <c r="B445" s="5" t="s">
        <v>4508</v>
      </c>
      <c r="C445" s="6" t="s">
        <v>1657</v>
      </c>
      <c r="D445" t="s">
        <v>2406</v>
      </c>
      <c r="E445" s="5">
        <v>2</v>
      </c>
      <c r="F445" s="5">
        <v>69.64</v>
      </c>
      <c r="G445" s="6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4299</v>
      </c>
      <c r="M445" t="s">
        <v>4281</v>
      </c>
      <c r="N445" s="5">
        <v>139.28</v>
      </c>
    </row>
    <row r="446" spans="1:14" x14ac:dyDescent="0.2">
      <c r="A446" t="s">
        <v>458</v>
      </c>
      <c r="B446" s="4">
        <v>45510</v>
      </c>
      <c r="C446" s="6" t="s">
        <v>1658</v>
      </c>
      <c r="D446" t="s">
        <v>2407</v>
      </c>
      <c r="E446" s="5">
        <v>1</v>
      </c>
      <c r="F446" s="5">
        <v>135.16999999999999</v>
      </c>
      <c r="G446" s="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5">
        <v>135.16999999999999</v>
      </c>
    </row>
    <row r="447" spans="1:14" x14ac:dyDescent="0.2">
      <c r="A447" t="s">
        <v>459</v>
      </c>
      <c r="B447" s="5" t="s">
        <v>4437</v>
      </c>
      <c r="C447" s="6" t="s">
        <v>1659</v>
      </c>
      <c r="D447" t="s">
        <v>2404</v>
      </c>
      <c r="E447" s="5">
        <v>1</v>
      </c>
      <c r="F447" s="5">
        <v>487.21</v>
      </c>
      <c r="G447" s="6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5">
        <v>487.21</v>
      </c>
    </row>
    <row r="448" spans="1:14" x14ac:dyDescent="0.2">
      <c r="A448" t="s">
        <v>460</v>
      </c>
      <c r="B448" s="5" t="s">
        <v>4509</v>
      </c>
      <c r="C448" s="6" t="s">
        <v>1660</v>
      </c>
      <c r="D448" t="s">
        <v>2408</v>
      </c>
      <c r="E448" s="5">
        <v>5</v>
      </c>
      <c r="F448" s="5">
        <v>509.58</v>
      </c>
      <c r="G448" s="6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7">
        <v>2547.9</v>
      </c>
    </row>
    <row r="449" spans="1:14" x14ac:dyDescent="0.2">
      <c r="A449" t="s">
        <v>461</v>
      </c>
      <c r="B449" s="4">
        <v>45477</v>
      </c>
      <c r="C449" s="6" t="s">
        <v>1661</v>
      </c>
      <c r="D449" t="s">
        <v>2407</v>
      </c>
      <c r="E449" s="5">
        <v>2</v>
      </c>
      <c r="F449" s="5">
        <v>416.81</v>
      </c>
      <c r="G449" s="6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4299</v>
      </c>
      <c r="M449" t="s">
        <v>4281</v>
      </c>
      <c r="N449" s="5">
        <v>833.62</v>
      </c>
    </row>
    <row r="450" spans="1:14" x14ac:dyDescent="0.2">
      <c r="A450" t="s">
        <v>462</v>
      </c>
      <c r="B450" s="4">
        <v>45025</v>
      </c>
      <c r="C450" s="6" t="s">
        <v>1662</v>
      </c>
      <c r="D450" t="s">
        <v>2408</v>
      </c>
      <c r="E450" s="5">
        <v>2</v>
      </c>
      <c r="F450" s="5">
        <v>160</v>
      </c>
      <c r="G450" s="6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5">
        <v>320</v>
      </c>
    </row>
    <row r="451" spans="1:14" x14ac:dyDescent="0.2">
      <c r="A451" t="s">
        <v>463</v>
      </c>
      <c r="B451" s="5" t="s">
        <v>4510</v>
      </c>
      <c r="C451" s="6" t="s">
        <v>1663</v>
      </c>
      <c r="D451" t="s">
        <v>2405</v>
      </c>
      <c r="E451" s="5">
        <v>3</v>
      </c>
      <c r="F451" s="5">
        <v>253.05</v>
      </c>
      <c r="G451" s="6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4299</v>
      </c>
      <c r="M451" t="s">
        <v>4278</v>
      </c>
      <c r="N451" s="5">
        <v>759.15</v>
      </c>
    </row>
    <row r="452" spans="1:14" x14ac:dyDescent="0.2">
      <c r="A452" t="s">
        <v>464</v>
      </c>
      <c r="B452" s="5" t="s">
        <v>4511</v>
      </c>
      <c r="C452" s="6" t="s">
        <v>1664</v>
      </c>
      <c r="D452" t="s">
        <v>2403</v>
      </c>
      <c r="E452" s="5">
        <v>5</v>
      </c>
      <c r="F452" s="5">
        <v>615.1</v>
      </c>
      <c r="G452" s="6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7">
        <v>3075.5</v>
      </c>
    </row>
    <row r="453" spans="1:14" x14ac:dyDescent="0.2">
      <c r="A453" t="s">
        <v>465</v>
      </c>
      <c r="B453" s="4">
        <v>44930</v>
      </c>
      <c r="C453" s="6" t="s">
        <v>1665</v>
      </c>
      <c r="D453" t="s">
        <v>2403</v>
      </c>
      <c r="E453" s="5">
        <v>1</v>
      </c>
      <c r="F453" s="5">
        <v>183.18</v>
      </c>
      <c r="G453" s="6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5">
        <v>183.18</v>
      </c>
    </row>
    <row r="454" spans="1:14" x14ac:dyDescent="0.2">
      <c r="A454" t="s">
        <v>466</v>
      </c>
      <c r="B454" s="5" t="s">
        <v>4512</v>
      </c>
      <c r="C454" s="6" t="s">
        <v>1666</v>
      </c>
      <c r="D454" t="s">
        <v>2407</v>
      </c>
      <c r="E454" s="5">
        <v>1</v>
      </c>
      <c r="F454" s="5">
        <v>75.78</v>
      </c>
      <c r="G454" s="6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5">
        <v>75.78</v>
      </c>
    </row>
    <row r="455" spans="1:14" x14ac:dyDescent="0.2">
      <c r="A455" t="s">
        <v>467</v>
      </c>
      <c r="B455" s="4">
        <v>45693</v>
      </c>
      <c r="C455" s="6" t="s">
        <v>1667</v>
      </c>
      <c r="D455" t="s">
        <v>2405</v>
      </c>
      <c r="E455" s="5">
        <v>1</v>
      </c>
      <c r="F455" s="5">
        <v>675.57</v>
      </c>
      <c r="G455" s="6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5">
        <v>675.57</v>
      </c>
    </row>
    <row r="456" spans="1:14" x14ac:dyDescent="0.2">
      <c r="A456" t="s">
        <v>468</v>
      </c>
      <c r="B456" s="5" t="s">
        <v>4513</v>
      </c>
      <c r="C456" s="6" t="s">
        <v>1668</v>
      </c>
      <c r="D456" t="s">
        <v>2408</v>
      </c>
      <c r="E456" s="5">
        <v>1</v>
      </c>
      <c r="F456" s="5">
        <v>109.29</v>
      </c>
      <c r="G456" s="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5">
        <v>109.29</v>
      </c>
    </row>
    <row r="457" spans="1:14" x14ac:dyDescent="0.2">
      <c r="A457" t="s">
        <v>469</v>
      </c>
      <c r="B457" s="5" t="s">
        <v>4473</v>
      </c>
      <c r="C457" s="6" t="s">
        <v>1669</v>
      </c>
      <c r="D457" t="s">
        <v>2404</v>
      </c>
      <c r="E457" s="5">
        <v>1</v>
      </c>
      <c r="F457" s="5">
        <v>639.83000000000004</v>
      </c>
      <c r="G457" s="6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5">
        <v>639.83000000000004</v>
      </c>
    </row>
    <row r="458" spans="1:14" x14ac:dyDescent="0.2">
      <c r="A458" t="s">
        <v>470</v>
      </c>
      <c r="B458" s="5" t="s">
        <v>4514</v>
      </c>
      <c r="C458" s="6" t="s">
        <v>1670</v>
      </c>
      <c r="D458" t="s">
        <v>2409</v>
      </c>
      <c r="E458" s="5">
        <v>5</v>
      </c>
      <c r="F458" s="5">
        <v>62.81</v>
      </c>
      <c r="G458" s="6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5">
        <v>314.05</v>
      </c>
    </row>
    <row r="459" spans="1:14" x14ac:dyDescent="0.2">
      <c r="A459" t="s">
        <v>471</v>
      </c>
      <c r="B459" s="5" t="s">
        <v>4515</v>
      </c>
      <c r="C459" s="6" t="s">
        <v>1671</v>
      </c>
      <c r="D459" t="s">
        <v>2409</v>
      </c>
      <c r="E459" s="5">
        <v>4</v>
      </c>
      <c r="F459" s="5">
        <v>615.83000000000004</v>
      </c>
      <c r="G459" s="6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7">
        <v>2463.3200000000002</v>
      </c>
    </row>
    <row r="460" spans="1:14" x14ac:dyDescent="0.2">
      <c r="A460" t="s">
        <v>472</v>
      </c>
      <c r="B460" s="4">
        <v>45329</v>
      </c>
      <c r="C460" s="6" t="s">
        <v>1672</v>
      </c>
      <c r="D460" t="s">
        <v>2403</v>
      </c>
      <c r="E460" s="5">
        <v>4</v>
      </c>
      <c r="F460" s="5">
        <v>510.58</v>
      </c>
      <c r="G460" s="6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7">
        <v>2042.32</v>
      </c>
    </row>
    <row r="461" spans="1:14" x14ac:dyDescent="0.2">
      <c r="A461" t="s">
        <v>473</v>
      </c>
      <c r="B461" s="5" t="s">
        <v>4313</v>
      </c>
      <c r="C461" s="6" t="s">
        <v>1673</v>
      </c>
      <c r="D461" t="s">
        <v>2409</v>
      </c>
      <c r="E461" s="5">
        <v>1</v>
      </c>
      <c r="F461" s="5">
        <v>334.39</v>
      </c>
      <c r="G461" s="6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4299</v>
      </c>
      <c r="M461" t="s">
        <v>4278</v>
      </c>
      <c r="N461" s="5">
        <v>334.39</v>
      </c>
    </row>
    <row r="462" spans="1:14" x14ac:dyDescent="0.2">
      <c r="A462" t="s">
        <v>474</v>
      </c>
      <c r="B462" s="4">
        <v>45453</v>
      </c>
      <c r="C462" s="6" t="s">
        <v>1674</v>
      </c>
      <c r="D462" t="s">
        <v>2408</v>
      </c>
      <c r="E462" s="5">
        <v>1</v>
      </c>
      <c r="F462" s="5">
        <v>144.25</v>
      </c>
      <c r="G462" s="6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5">
        <v>144.25</v>
      </c>
    </row>
    <row r="463" spans="1:14" x14ac:dyDescent="0.2">
      <c r="A463" t="s">
        <v>475</v>
      </c>
      <c r="B463" s="4">
        <v>45510</v>
      </c>
      <c r="C463" s="6" t="s">
        <v>1675</v>
      </c>
      <c r="D463" t="s">
        <v>2405</v>
      </c>
      <c r="E463" s="5">
        <v>1</v>
      </c>
      <c r="F463" s="5">
        <v>401.82</v>
      </c>
      <c r="G463" s="6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5">
        <v>401.82</v>
      </c>
    </row>
    <row r="464" spans="1:14" x14ac:dyDescent="0.2">
      <c r="A464" t="s">
        <v>476</v>
      </c>
      <c r="B464" s="5" t="s">
        <v>4516</v>
      </c>
      <c r="C464" s="6" t="s">
        <v>1676</v>
      </c>
      <c r="D464" t="s">
        <v>2404</v>
      </c>
      <c r="E464" s="5">
        <v>1</v>
      </c>
      <c r="F464" s="5">
        <v>252.68</v>
      </c>
      <c r="G464" s="6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4299</v>
      </c>
      <c r="M464" t="s">
        <v>4279</v>
      </c>
      <c r="N464" s="5">
        <v>252.68</v>
      </c>
    </row>
    <row r="465" spans="1:14" x14ac:dyDescent="0.2">
      <c r="A465" t="s">
        <v>477</v>
      </c>
      <c r="B465" s="5" t="s">
        <v>4341</v>
      </c>
      <c r="C465" s="6" t="s">
        <v>1677</v>
      </c>
      <c r="D465" t="s">
        <v>2408</v>
      </c>
      <c r="E465" s="5">
        <v>5</v>
      </c>
      <c r="F465" s="5">
        <v>662.78</v>
      </c>
      <c r="G465" s="6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7">
        <v>3313.9</v>
      </c>
    </row>
    <row r="466" spans="1:14" x14ac:dyDescent="0.2">
      <c r="A466" t="s">
        <v>478</v>
      </c>
      <c r="B466" s="5" t="s">
        <v>4517</v>
      </c>
      <c r="C466" s="6" t="s">
        <v>1678</v>
      </c>
      <c r="D466" t="s">
        <v>2405</v>
      </c>
      <c r="E466" s="5">
        <v>4</v>
      </c>
      <c r="F466" s="5">
        <v>434.42</v>
      </c>
      <c r="G466" s="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7">
        <v>1737.68</v>
      </c>
    </row>
    <row r="467" spans="1:14" x14ac:dyDescent="0.2">
      <c r="A467" t="s">
        <v>479</v>
      </c>
      <c r="B467" s="5" t="s">
        <v>4442</v>
      </c>
      <c r="C467" s="6" t="s">
        <v>1679</v>
      </c>
      <c r="D467" t="s">
        <v>2407</v>
      </c>
      <c r="E467" s="5">
        <v>5</v>
      </c>
      <c r="F467" s="5">
        <v>513.49</v>
      </c>
      <c r="G467" s="6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4299</v>
      </c>
      <c r="M467" t="s">
        <v>4282</v>
      </c>
      <c r="N467" s="7">
        <v>2567.4499999999998</v>
      </c>
    </row>
    <row r="468" spans="1:14" x14ac:dyDescent="0.2">
      <c r="A468" t="s">
        <v>480</v>
      </c>
      <c r="B468" s="5" t="s">
        <v>4419</v>
      </c>
      <c r="C468" s="6" t="s">
        <v>1680</v>
      </c>
      <c r="D468" t="s">
        <v>2404</v>
      </c>
      <c r="E468" s="5">
        <v>1</v>
      </c>
      <c r="F468" s="5">
        <v>432.47</v>
      </c>
      <c r="G468" s="6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5">
        <v>432.47</v>
      </c>
    </row>
    <row r="469" spans="1:14" x14ac:dyDescent="0.2">
      <c r="A469" t="s">
        <v>481</v>
      </c>
      <c r="B469" s="5" t="s">
        <v>4435</v>
      </c>
      <c r="C469" s="6" t="s">
        <v>1681</v>
      </c>
      <c r="D469" t="s">
        <v>2409</v>
      </c>
      <c r="E469" s="5">
        <v>1</v>
      </c>
      <c r="F469" s="5">
        <v>45.94</v>
      </c>
      <c r="G469" s="6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5">
        <v>45.94</v>
      </c>
    </row>
    <row r="470" spans="1:14" x14ac:dyDescent="0.2">
      <c r="A470" t="s">
        <v>482</v>
      </c>
      <c r="B470" s="5" t="s">
        <v>4518</v>
      </c>
      <c r="C470" s="6" t="s">
        <v>1682</v>
      </c>
      <c r="D470" t="s">
        <v>2404</v>
      </c>
      <c r="E470" s="5">
        <v>1</v>
      </c>
      <c r="F470" s="5">
        <v>418.36</v>
      </c>
      <c r="G470" s="6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5">
        <v>418.36</v>
      </c>
    </row>
    <row r="471" spans="1:14" x14ac:dyDescent="0.2">
      <c r="A471" t="s">
        <v>483</v>
      </c>
      <c r="B471" s="5" t="s">
        <v>4519</v>
      </c>
      <c r="C471" s="6" t="s">
        <v>1683</v>
      </c>
      <c r="D471" t="s">
        <v>2406</v>
      </c>
      <c r="E471" s="5">
        <v>5</v>
      </c>
      <c r="F471" s="5">
        <v>676.98</v>
      </c>
      <c r="G471" s="6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4299</v>
      </c>
      <c r="M471" t="s">
        <v>4281</v>
      </c>
      <c r="N471" s="7">
        <v>3384.9</v>
      </c>
    </row>
    <row r="472" spans="1:14" x14ac:dyDescent="0.2">
      <c r="A472" t="s">
        <v>484</v>
      </c>
      <c r="B472" s="5" t="s">
        <v>4520</v>
      </c>
      <c r="C472" s="6" t="s">
        <v>1684</v>
      </c>
      <c r="D472" t="s">
        <v>2405</v>
      </c>
      <c r="E472" s="5">
        <v>4</v>
      </c>
      <c r="F472" s="5">
        <v>263.62</v>
      </c>
      <c r="G472" s="6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7">
        <v>1054.48</v>
      </c>
    </row>
    <row r="473" spans="1:14" x14ac:dyDescent="0.2">
      <c r="A473" t="s">
        <v>485</v>
      </c>
      <c r="B473" s="5" t="s">
        <v>4521</v>
      </c>
      <c r="C473" s="6" t="s">
        <v>1685</v>
      </c>
      <c r="D473" t="s">
        <v>2409</v>
      </c>
      <c r="E473" s="5">
        <v>5</v>
      </c>
      <c r="F473" s="5">
        <v>551.27</v>
      </c>
      <c r="G473" s="6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7">
        <v>2756.35</v>
      </c>
    </row>
    <row r="474" spans="1:14" x14ac:dyDescent="0.2">
      <c r="A474" t="s">
        <v>486</v>
      </c>
      <c r="B474" s="4">
        <v>45078</v>
      </c>
      <c r="C474" s="6" t="s">
        <v>1686</v>
      </c>
      <c r="D474" t="s">
        <v>2406</v>
      </c>
      <c r="E474" s="5">
        <v>3</v>
      </c>
      <c r="F474" s="5">
        <v>508.12</v>
      </c>
      <c r="G474" s="6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7">
        <v>1524.36</v>
      </c>
    </row>
    <row r="475" spans="1:14" x14ac:dyDescent="0.2">
      <c r="A475" t="s">
        <v>487</v>
      </c>
      <c r="B475" s="5" t="s">
        <v>4350</v>
      </c>
      <c r="C475" s="6" t="s">
        <v>1687</v>
      </c>
      <c r="D475" t="s">
        <v>2406</v>
      </c>
      <c r="E475" s="5">
        <v>2</v>
      </c>
      <c r="F475" s="5">
        <v>14.93</v>
      </c>
      <c r="G475" s="6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4299</v>
      </c>
      <c r="M475" t="s">
        <v>4281</v>
      </c>
      <c r="N475" s="5">
        <v>29.86</v>
      </c>
    </row>
    <row r="476" spans="1:14" x14ac:dyDescent="0.2">
      <c r="A476" t="s">
        <v>488</v>
      </c>
      <c r="B476" s="5" t="s">
        <v>4522</v>
      </c>
      <c r="C476" s="6" t="s">
        <v>1688</v>
      </c>
      <c r="D476" t="s">
        <v>2407</v>
      </c>
      <c r="E476" s="5">
        <v>3</v>
      </c>
      <c r="F476" s="5">
        <v>229.34</v>
      </c>
      <c r="G476" s="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5">
        <v>688.02</v>
      </c>
    </row>
    <row r="477" spans="1:14" x14ac:dyDescent="0.2">
      <c r="A477" t="s">
        <v>489</v>
      </c>
      <c r="B477" s="5" t="s">
        <v>4521</v>
      </c>
      <c r="C477" s="6" t="s">
        <v>1689</v>
      </c>
      <c r="D477" t="s">
        <v>2405</v>
      </c>
      <c r="E477" s="5">
        <v>2</v>
      </c>
      <c r="F477" s="5">
        <v>438.62</v>
      </c>
      <c r="G477" s="6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5">
        <v>877.24</v>
      </c>
    </row>
    <row r="478" spans="1:14" x14ac:dyDescent="0.2">
      <c r="A478" t="s">
        <v>490</v>
      </c>
      <c r="B478" s="5" t="s">
        <v>4511</v>
      </c>
      <c r="C478" s="6" t="s">
        <v>1690</v>
      </c>
      <c r="D478" t="s">
        <v>2404</v>
      </c>
      <c r="E478" s="5">
        <v>2</v>
      </c>
      <c r="F478" s="5">
        <v>513.59</v>
      </c>
      <c r="G478" s="6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7">
        <v>1027.18</v>
      </c>
    </row>
    <row r="479" spans="1:14" x14ac:dyDescent="0.2">
      <c r="A479" t="s">
        <v>491</v>
      </c>
      <c r="B479" s="4">
        <v>45780</v>
      </c>
      <c r="C479" s="6" t="s">
        <v>1691</v>
      </c>
      <c r="D479" t="s">
        <v>2404</v>
      </c>
      <c r="E479" s="5">
        <v>2</v>
      </c>
      <c r="F479" s="5">
        <v>253.74</v>
      </c>
      <c r="G479" s="6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5">
        <v>507.48</v>
      </c>
    </row>
    <row r="480" spans="1:14" x14ac:dyDescent="0.2">
      <c r="A480" t="s">
        <v>492</v>
      </c>
      <c r="B480" s="4">
        <v>45302</v>
      </c>
      <c r="C480" s="6" t="s">
        <v>1692</v>
      </c>
      <c r="D480" t="s">
        <v>2405</v>
      </c>
      <c r="E480" s="5">
        <v>3</v>
      </c>
      <c r="F480" s="5">
        <v>62.77</v>
      </c>
      <c r="G480" s="6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5">
        <v>188.31</v>
      </c>
    </row>
    <row r="481" spans="1:14" x14ac:dyDescent="0.2">
      <c r="A481" t="s">
        <v>493</v>
      </c>
      <c r="B481" s="5" t="s">
        <v>4523</v>
      </c>
      <c r="C481" s="6" t="s">
        <v>1693</v>
      </c>
      <c r="D481" t="s">
        <v>2403</v>
      </c>
      <c r="E481" s="5">
        <v>4</v>
      </c>
      <c r="F481" s="5">
        <v>25.29</v>
      </c>
      <c r="G481" s="6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4299</v>
      </c>
      <c r="M481" t="s">
        <v>4282</v>
      </c>
      <c r="N481" s="5">
        <v>101.16</v>
      </c>
    </row>
    <row r="482" spans="1:14" x14ac:dyDescent="0.2">
      <c r="A482" t="s">
        <v>494</v>
      </c>
      <c r="B482" s="5" t="s">
        <v>4524</v>
      </c>
      <c r="C482" s="6" t="s">
        <v>1694</v>
      </c>
      <c r="D482" t="s">
        <v>2406</v>
      </c>
      <c r="E482" s="5">
        <v>1</v>
      </c>
      <c r="F482" s="5">
        <v>335.1</v>
      </c>
      <c r="G482" s="6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5">
        <v>335.1</v>
      </c>
    </row>
    <row r="483" spans="1:14" x14ac:dyDescent="0.2">
      <c r="A483" t="s">
        <v>495</v>
      </c>
      <c r="B483" s="5" t="s">
        <v>4475</v>
      </c>
      <c r="C483" s="6" t="s">
        <v>1695</v>
      </c>
      <c r="D483" t="s">
        <v>2408</v>
      </c>
      <c r="E483" s="5">
        <v>4</v>
      </c>
      <c r="F483" s="5">
        <v>484.85</v>
      </c>
      <c r="G483" s="6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7">
        <v>1939.4</v>
      </c>
    </row>
    <row r="484" spans="1:14" x14ac:dyDescent="0.2">
      <c r="A484" t="s">
        <v>496</v>
      </c>
      <c r="B484" s="4">
        <v>45691</v>
      </c>
      <c r="C484" s="6" t="s">
        <v>1696</v>
      </c>
      <c r="D484" t="s">
        <v>2403</v>
      </c>
      <c r="E484" s="5">
        <v>3</v>
      </c>
      <c r="F484" s="5">
        <v>381.41</v>
      </c>
      <c r="G484" s="6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4299</v>
      </c>
      <c r="M484" t="s">
        <v>4278</v>
      </c>
      <c r="N484" s="7">
        <v>1144.23</v>
      </c>
    </row>
    <row r="485" spans="1:14" x14ac:dyDescent="0.2">
      <c r="A485" t="s">
        <v>497</v>
      </c>
      <c r="B485" s="5" t="s">
        <v>4525</v>
      </c>
      <c r="C485" s="6" t="s">
        <v>1697</v>
      </c>
      <c r="D485" t="s">
        <v>2404</v>
      </c>
      <c r="E485" s="5">
        <v>5</v>
      </c>
      <c r="F485" s="5">
        <v>347.92</v>
      </c>
      <c r="G485" s="6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7">
        <v>1739.6</v>
      </c>
    </row>
    <row r="486" spans="1:14" x14ac:dyDescent="0.2">
      <c r="A486" t="s">
        <v>498</v>
      </c>
      <c r="B486" s="5" t="s">
        <v>4526</v>
      </c>
      <c r="C486" s="6" t="s">
        <v>1698</v>
      </c>
      <c r="D486" t="s">
        <v>2406</v>
      </c>
      <c r="E486" s="5">
        <v>4</v>
      </c>
      <c r="F486" s="5">
        <v>15.01</v>
      </c>
      <c r="G486" s="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4299</v>
      </c>
      <c r="M486" t="s">
        <v>4281</v>
      </c>
      <c r="N486" s="5">
        <v>60.04</v>
      </c>
    </row>
    <row r="487" spans="1:14" x14ac:dyDescent="0.2">
      <c r="A487" t="s">
        <v>499</v>
      </c>
      <c r="B487" s="4">
        <v>44934</v>
      </c>
      <c r="C487" s="6" t="s">
        <v>1699</v>
      </c>
      <c r="D487" t="s">
        <v>2406</v>
      </c>
      <c r="E487" s="5">
        <v>3</v>
      </c>
      <c r="F487" s="5">
        <v>404.79</v>
      </c>
      <c r="G487" s="6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7">
        <v>1214.3699999999999</v>
      </c>
    </row>
    <row r="488" spans="1:14" x14ac:dyDescent="0.2">
      <c r="A488" t="s">
        <v>500</v>
      </c>
      <c r="B488" s="4">
        <v>44987</v>
      </c>
      <c r="C488" s="6" t="s">
        <v>1700</v>
      </c>
      <c r="D488" t="s">
        <v>2407</v>
      </c>
      <c r="E488" s="5">
        <v>4</v>
      </c>
      <c r="F488" s="5">
        <v>611.26</v>
      </c>
      <c r="G488" s="6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7">
        <v>2445.04</v>
      </c>
    </row>
    <row r="489" spans="1:14" x14ac:dyDescent="0.2">
      <c r="A489" t="s">
        <v>501</v>
      </c>
      <c r="B489" s="4">
        <v>45172</v>
      </c>
      <c r="C489" s="6" t="s">
        <v>1701</v>
      </c>
      <c r="D489" t="s">
        <v>2407</v>
      </c>
      <c r="E489" s="5">
        <v>3</v>
      </c>
      <c r="F489" s="5">
        <v>346.52</v>
      </c>
      <c r="G489" s="6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7">
        <v>1039.56</v>
      </c>
    </row>
    <row r="490" spans="1:14" x14ac:dyDescent="0.2">
      <c r="A490" t="s">
        <v>502</v>
      </c>
      <c r="B490" s="4">
        <v>45424</v>
      </c>
      <c r="C490" s="6" t="s">
        <v>1702</v>
      </c>
      <c r="D490" t="s">
        <v>2406</v>
      </c>
      <c r="E490" s="5">
        <v>1</v>
      </c>
      <c r="F490" s="5">
        <v>36.65</v>
      </c>
      <c r="G490" s="6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5">
        <v>36.65</v>
      </c>
    </row>
    <row r="491" spans="1:14" x14ac:dyDescent="0.2">
      <c r="A491" t="s">
        <v>503</v>
      </c>
      <c r="B491" s="4">
        <v>45055</v>
      </c>
      <c r="C491" s="6" t="s">
        <v>1703</v>
      </c>
      <c r="D491" t="s">
        <v>2405</v>
      </c>
      <c r="E491" s="5">
        <v>3</v>
      </c>
      <c r="F491" s="5">
        <v>149.34</v>
      </c>
      <c r="G491" s="6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5">
        <v>448.02</v>
      </c>
    </row>
    <row r="492" spans="1:14" x14ac:dyDescent="0.2">
      <c r="A492" t="s">
        <v>504</v>
      </c>
      <c r="B492" s="5" t="s">
        <v>4486</v>
      </c>
      <c r="C492" s="6" t="s">
        <v>1704</v>
      </c>
      <c r="D492" t="s">
        <v>2406</v>
      </c>
      <c r="E492" s="5">
        <v>5</v>
      </c>
      <c r="F492" s="5">
        <v>467.81</v>
      </c>
      <c r="G492" s="6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4299</v>
      </c>
      <c r="M492" t="s">
        <v>4281</v>
      </c>
      <c r="N492" s="7">
        <v>2339.0500000000002</v>
      </c>
    </row>
    <row r="493" spans="1:14" x14ac:dyDescent="0.2">
      <c r="A493" t="s">
        <v>505</v>
      </c>
      <c r="B493" s="4">
        <v>45047</v>
      </c>
      <c r="C493" s="6" t="s">
        <v>1705</v>
      </c>
      <c r="D493" t="s">
        <v>2404</v>
      </c>
      <c r="E493" s="5">
        <v>5</v>
      </c>
      <c r="F493" s="5">
        <v>420.7</v>
      </c>
      <c r="G493" s="6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7">
        <v>2103.5</v>
      </c>
    </row>
    <row r="494" spans="1:14" x14ac:dyDescent="0.2">
      <c r="A494" t="s">
        <v>506</v>
      </c>
      <c r="B494" s="5" t="s">
        <v>4527</v>
      </c>
      <c r="C494" s="6" t="s">
        <v>1706</v>
      </c>
      <c r="D494" t="s">
        <v>2408</v>
      </c>
      <c r="E494" s="5">
        <v>5</v>
      </c>
      <c r="F494" s="5">
        <v>606.52</v>
      </c>
      <c r="G494" s="6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7">
        <v>3032.6</v>
      </c>
    </row>
    <row r="495" spans="1:14" x14ac:dyDescent="0.2">
      <c r="A495" t="s">
        <v>507</v>
      </c>
      <c r="B495" s="5" t="s">
        <v>4528</v>
      </c>
      <c r="C495" s="6" t="s">
        <v>1707</v>
      </c>
      <c r="D495" t="s">
        <v>2404</v>
      </c>
      <c r="E495" s="5">
        <v>1</v>
      </c>
      <c r="F495" s="5">
        <v>420.26</v>
      </c>
      <c r="G495" s="6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5">
        <v>420.26</v>
      </c>
    </row>
    <row r="496" spans="1:14" x14ac:dyDescent="0.2">
      <c r="A496" t="s">
        <v>508</v>
      </c>
      <c r="B496" s="5" t="s">
        <v>4325</v>
      </c>
      <c r="C496" s="6" t="s">
        <v>1708</v>
      </c>
      <c r="D496" t="s">
        <v>2408</v>
      </c>
      <c r="E496" s="5">
        <v>3</v>
      </c>
      <c r="F496" s="5">
        <v>505.79</v>
      </c>
      <c r="G496" s="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7">
        <v>1517.37</v>
      </c>
    </row>
    <row r="497" spans="1:14" x14ac:dyDescent="0.2">
      <c r="A497" t="s">
        <v>509</v>
      </c>
      <c r="B497" s="4">
        <v>45783</v>
      </c>
      <c r="C497" s="6" t="s">
        <v>1709</v>
      </c>
      <c r="D497" t="s">
        <v>2404</v>
      </c>
      <c r="E497" s="5">
        <v>4</v>
      </c>
      <c r="F497" s="5">
        <v>493.73</v>
      </c>
      <c r="G497" s="6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7">
        <v>1974.92</v>
      </c>
    </row>
    <row r="498" spans="1:14" x14ac:dyDescent="0.2">
      <c r="A498" t="s">
        <v>510</v>
      </c>
      <c r="B498" s="5" t="s">
        <v>4529</v>
      </c>
      <c r="C498" s="6" t="s">
        <v>1710</v>
      </c>
      <c r="D498" t="s">
        <v>2407</v>
      </c>
      <c r="E498" s="5">
        <v>3</v>
      </c>
      <c r="F498" s="5">
        <v>201.21</v>
      </c>
      <c r="G498" s="6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5">
        <v>603.63</v>
      </c>
    </row>
    <row r="499" spans="1:14" x14ac:dyDescent="0.2">
      <c r="A499" t="s">
        <v>511</v>
      </c>
      <c r="B499" s="5" t="s">
        <v>4360</v>
      </c>
      <c r="C499" s="6" t="s">
        <v>1711</v>
      </c>
      <c r="D499" t="s">
        <v>2407</v>
      </c>
      <c r="E499" s="5">
        <v>3</v>
      </c>
      <c r="F499" s="5">
        <v>112.29</v>
      </c>
      <c r="G499" s="6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4299</v>
      </c>
      <c r="M499" t="s">
        <v>4282</v>
      </c>
      <c r="N499" s="5">
        <v>336.87</v>
      </c>
    </row>
    <row r="500" spans="1:14" x14ac:dyDescent="0.2">
      <c r="A500" t="s">
        <v>512</v>
      </c>
      <c r="B500" s="4">
        <v>45267</v>
      </c>
      <c r="C500" s="6" t="s">
        <v>1712</v>
      </c>
      <c r="D500" t="s">
        <v>2405</v>
      </c>
      <c r="E500" s="5">
        <v>4</v>
      </c>
      <c r="F500" s="5">
        <v>132.56</v>
      </c>
      <c r="G500" s="6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5">
        <v>530.24</v>
      </c>
    </row>
    <row r="501" spans="1:14" x14ac:dyDescent="0.2">
      <c r="A501" t="s">
        <v>513</v>
      </c>
      <c r="B501" s="4">
        <v>45081</v>
      </c>
      <c r="C501" s="6" t="s">
        <v>1713</v>
      </c>
      <c r="D501" t="s">
        <v>2407</v>
      </c>
      <c r="E501" s="5">
        <v>3</v>
      </c>
      <c r="F501" s="5">
        <v>539.46</v>
      </c>
      <c r="G501" s="6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7">
        <v>1618.38</v>
      </c>
    </row>
    <row r="502" spans="1:14" x14ac:dyDescent="0.2">
      <c r="A502" t="s">
        <v>514</v>
      </c>
      <c r="B502" s="4">
        <v>45477</v>
      </c>
      <c r="C502" s="6" t="s">
        <v>1714</v>
      </c>
      <c r="D502" t="s">
        <v>2408</v>
      </c>
      <c r="E502" s="5">
        <v>5</v>
      </c>
      <c r="F502" s="5">
        <v>508.59</v>
      </c>
      <c r="G502" s="6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7">
        <v>2542.9499999999998</v>
      </c>
    </row>
    <row r="503" spans="1:14" x14ac:dyDescent="0.2">
      <c r="A503" t="s">
        <v>515</v>
      </c>
      <c r="B503" s="4">
        <v>45384</v>
      </c>
      <c r="C503" s="6" t="s">
        <v>1715</v>
      </c>
      <c r="D503" t="s">
        <v>2409</v>
      </c>
      <c r="E503" s="5">
        <v>4</v>
      </c>
      <c r="F503" s="5">
        <v>203.46</v>
      </c>
      <c r="G503" s="6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5">
        <v>813.84</v>
      </c>
    </row>
    <row r="504" spans="1:14" x14ac:dyDescent="0.2">
      <c r="A504" t="s">
        <v>516</v>
      </c>
      <c r="B504" s="5" t="s">
        <v>4530</v>
      </c>
      <c r="C504" s="6" t="s">
        <v>1716</v>
      </c>
      <c r="D504" t="s">
        <v>2403</v>
      </c>
      <c r="E504" s="5">
        <v>3</v>
      </c>
      <c r="F504" s="5">
        <v>565.25</v>
      </c>
      <c r="G504" s="6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7">
        <v>1695.75</v>
      </c>
    </row>
    <row r="505" spans="1:14" x14ac:dyDescent="0.2">
      <c r="A505" t="s">
        <v>517</v>
      </c>
      <c r="B505" s="5" t="s">
        <v>4479</v>
      </c>
      <c r="C505" s="6" t="s">
        <v>1717</v>
      </c>
      <c r="D505" t="s">
        <v>2405</v>
      </c>
      <c r="E505" s="5">
        <v>3</v>
      </c>
      <c r="F505" s="5">
        <v>136.84</v>
      </c>
      <c r="G505" s="6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5">
        <v>410.52</v>
      </c>
    </row>
    <row r="506" spans="1:14" x14ac:dyDescent="0.2">
      <c r="A506" t="s">
        <v>518</v>
      </c>
      <c r="B506" s="4">
        <v>45967</v>
      </c>
      <c r="C506" s="6" t="s">
        <v>1718</v>
      </c>
      <c r="D506" t="s">
        <v>2403</v>
      </c>
      <c r="E506" s="5">
        <v>2</v>
      </c>
      <c r="F506" s="5">
        <v>464.5</v>
      </c>
      <c r="G506" s="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5">
        <v>929</v>
      </c>
    </row>
    <row r="507" spans="1:14" x14ac:dyDescent="0.2">
      <c r="A507" t="s">
        <v>519</v>
      </c>
      <c r="B507" s="4">
        <v>45236</v>
      </c>
      <c r="C507" s="6" t="s">
        <v>1719</v>
      </c>
      <c r="D507" t="s">
        <v>2407</v>
      </c>
      <c r="E507" s="5">
        <v>2</v>
      </c>
      <c r="F507" s="5">
        <v>434.97</v>
      </c>
      <c r="G507" s="6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4299</v>
      </c>
      <c r="M507" t="s">
        <v>4280</v>
      </c>
      <c r="N507" s="5">
        <v>869.94</v>
      </c>
    </row>
    <row r="508" spans="1:14" x14ac:dyDescent="0.2">
      <c r="A508" t="s">
        <v>520</v>
      </c>
      <c r="B508" s="5" t="s">
        <v>4469</v>
      </c>
      <c r="C508" s="6" t="s">
        <v>1720</v>
      </c>
      <c r="D508" t="s">
        <v>2403</v>
      </c>
      <c r="E508" s="5">
        <v>2</v>
      </c>
      <c r="F508" s="5">
        <v>43.67</v>
      </c>
      <c r="G508" s="6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5">
        <v>87.34</v>
      </c>
    </row>
    <row r="509" spans="1:14" x14ac:dyDescent="0.2">
      <c r="A509" t="s">
        <v>521</v>
      </c>
      <c r="B509" s="4">
        <v>45053</v>
      </c>
      <c r="C509" s="6" t="s">
        <v>1721</v>
      </c>
      <c r="D509" t="s">
        <v>2404</v>
      </c>
      <c r="E509" s="5">
        <v>1</v>
      </c>
      <c r="F509" s="5">
        <v>171.59</v>
      </c>
      <c r="G509" s="6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5">
        <v>171.59</v>
      </c>
    </row>
    <row r="510" spans="1:14" x14ac:dyDescent="0.2">
      <c r="A510" t="s">
        <v>522</v>
      </c>
      <c r="B510" s="5" t="s">
        <v>4531</v>
      </c>
      <c r="C510" s="6" t="s">
        <v>1722</v>
      </c>
      <c r="D510" t="s">
        <v>2404</v>
      </c>
      <c r="E510" s="5">
        <v>1</v>
      </c>
      <c r="F510" s="5">
        <v>558.27</v>
      </c>
      <c r="G510" s="6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4299</v>
      </c>
      <c r="M510" t="s">
        <v>4279</v>
      </c>
      <c r="N510" s="5">
        <v>558.27</v>
      </c>
    </row>
    <row r="511" spans="1:14" x14ac:dyDescent="0.2">
      <c r="A511" t="s">
        <v>523</v>
      </c>
      <c r="B511" s="5" t="s">
        <v>4532</v>
      </c>
      <c r="C511" s="6" t="s">
        <v>1723</v>
      </c>
      <c r="D511" t="s">
        <v>2408</v>
      </c>
      <c r="E511" s="5">
        <v>2</v>
      </c>
      <c r="F511" s="5">
        <v>425.03</v>
      </c>
      <c r="G511" s="6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5">
        <v>850.06</v>
      </c>
    </row>
    <row r="512" spans="1:14" x14ac:dyDescent="0.2">
      <c r="A512" t="s">
        <v>524</v>
      </c>
      <c r="B512" s="5" t="s">
        <v>4533</v>
      </c>
      <c r="C512" s="6" t="s">
        <v>1724</v>
      </c>
      <c r="D512" t="s">
        <v>2407</v>
      </c>
      <c r="E512" s="5">
        <v>1</v>
      </c>
      <c r="F512" s="5">
        <v>376.76</v>
      </c>
      <c r="G512" s="6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5">
        <v>376.76</v>
      </c>
    </row>
    <row r="513" spans="1:14" x14ac:dyDescent="0.2">
      <c r="A513" t="s">
        <v>525</v>
      </c>
      <c r="B513" s="5" t="s">
        <v>4534</v>
      </c>
      <c r="C513" s="6" t="s">
        <v>1725</v>
      </c>
      <c r="D513" t="s">
        <v>2403</v>
      </c>
      <c r="E513" s="5">
        <v>5</v>
      </c>
      <c r="F513" s="5">
        <v>575.24</v>
      </c>
      <c r="G513" s="6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7">
        <v>2876.2</v>
      </c>
    </row>
    <row r="514" spans="1:14" x14ac:dyDescent="0.2">
      <c r="A514" t="s">
        <v>526</v>
      </c>
      <c r="B514" s="5" t="s">
        <v>4535</v>
      </c>
      <c r="C514" s="6" t="s">
        <v>1726</v>
      </c>
      <c r="D514" t="s">
        <v>2409</v>
      </c>
      <c r="E514" s="5">
        <v>3</v>
      </c>
      <c r="F514" s="5">
        <v>568.02</v>
      </c>
      <c r="G514" s="6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7">
        <v>1704.06</v>
      </c>
    </row>
    <row r="515" spans="1:14" x14ac:dyDescent="0.2">
      <c r="A515" t="s">
        <v>527</v>
      </c>
      <c r="B515" s="4">
        <v>45902</v>
      </c>
      <c r="C515" s="6" t="s">
        <v>1727</v>
      </c>
      <c r="D515" t="s">
        <v>2405</v>
      </c>
      <c r="E515" s="5">
        <v>3</v>
      </c>
      <c r="F515" s="5">
        <v>94.88</v>
      </c>
      <c r="G515" s="6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4299</v>
      </c>
      <c r="M515" t="s">
        <v>4279</v>
      </c>
      <c r="N515" s="5">
        <v>284.64</v>
      </c>
    </row>
    <row r="516" spans="1:14" x14ac:dyDescent="0.2">
      <c r="A516" t="s">
        <v>528</v>
      </c>
      <c r="B516" s="5" t="s">
        <v>4536</v>
      </c>
      <c r="C516" s="6" t="s">
        <v>1728</v>
      </c>
      <c r="D516" t="s">
        <v>2407</v>
      </c>
      <c r="E516" s="5">
        <v>3</v>
      </c>
      <c r="F516" s="5">
        <v>304.14999999999998</v>
      </c>
      <c r="G516" s="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5">
        <v>912.45</v>
      </c>
    </row>
    <row r="517" spans="1:14" x14ac:dyDescent="0.2">
      <c r="A517" t="s">
        <v>529</v>
      </c>
      <c r="B517" s="5" t="s">
        <v>4517</v>
      </c>
      <c r="C517" s="6" t="s">
        <v>1729</v>
      </c>
      <c r="D517" t="s">
        <v>2404</v>
      </c>
      <c r="E517" s="5">
        <v>3</v>
      </c>
      <c r="F517" s="5">
        <v>553.52</v>
      </c>
      <c r="G517" s="6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7">
        <v>1660.56</v>
      </c>
    </row>
    <row r="518" spans="1:14" x14ac:dyDescent="0.2">
      <c r="A518" t="s">
        <v>530</v>
      </c>
      <c r="B518" s="4">
        <v>45477</v>
      </c>
      <c r="C518" s="6" t="s">
        <v>1730</v>
      </c>
      <c r="D518" t="s">
        <v>2403</v>
      </c>
      <c r="E518" s="5">
        <v>3</v>
      </c>
      <c r="F518" s="5">
        <v>166.99</v>
      </c>
      <c r="G518" s="6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4299</v>
      </c>
      <c r="M518" t="s">
        <v>4281</v>
      </c>
      <c r="N518" s="5">
        <v>500.97</v>
      </c>
    </row>
    <row r="519" spans="1:14" x14ac:dyDescent="0.2">
      <c r="A519" t="s">
        <v>531</v>
      </c>
      <c r="B519" s="4">
        <v>45539</v>
      </c>
      <c r="C519" s="6" t="s">
        <v>1731</v>
      </c>
      <c r="D519" t="s">
        <v>2405</v>
      </c>
      <c r="E519" s="5">
        <v>4</v>
      </c>
      <c r="F519" s="5">
        <v>198.35</v>
      </c>
      <c r="G519" s="6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5">
        <v>793.4</v>
      </c>
    </row>
    <row r="520" spans="1:14" x14ac:dyDescent="0.2">
      <c r="A520" t="s">
        <v>532</v>
      </c>
      <c r="B520" s="5" t="s">
        <v>4537</v>
      </c>
      <c r="C520" s="6" t="s">
        <v>1732</v>
      </c>
      <c r="D520" t="s">
        <v>2407</v>
      </c>
      <c r="E520" s="5">
        <v>4</v>
      </c>
      <c r="F520" s="5">
        <v>403.58</v>
      </c>
      <c r="G520" s="6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7">
        <v>1614.32</v>
      </c>
    </row>
    <row r="521" spans="1:14" x14ac:dyDescent="0.2">
      <c r="A521" t="s">
        <v>533</v>
      </c>
      <c r="B521" s="4">
        <v>45935</v>
      </c>
      <c r="C521" s="6" t="s">
        <v>1733</v>
      </c>
      <c r="D521" t="s">
        <v>2408</v>
      </c>
      <c r="E521" s="5">
        <v>4</v>
      </c>
      <c r="F521" s="5">
        <v>464.29</v>
      </c>
      <c r="G521" s="6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7">
        <v>1857.16</v>
      </c>
    </row>
    <row r="522" spans="1:14" x14ac:dyDescent="0.2">
      <c r="A522" t="s">
        <v>534</v>
      </c>
      <c r="B522" s="4">
        <v>45202</v>
      </c>
      <c r="C522" s="6" t="s">
        <v>1734</v>
      </c>
      <c r="D522" t="s">
        <v>2403</v>
      </c>
      <c r="E522" s="5">
        <v>3</v>
      </c>
      <c r="F522" s="5">
        <v>635.98</v>
      </c>
      <c r="G522" s="6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4299</v>
      </c>
      <c r="M522" t="s">
        <v>4279</v>
      </c>
      <c r="N522" s="7">
        <v>1907.94</v>
      </c>
    </row>
    <row r="523" spans="1:14" x14ac:dyDescent="0.2">
      <c r="A523" t="s">
        <v>535</v>
      </c>
      <c r="B523" s="5" t="s">
        <v>4538</v>
      </c>
      <c r="C523" s="6" t="s">
        <v>1735</v>
      </c>
      <c r="D523" t="s">
        <v>2404</v>
      </c>
      <c r="E523" s="5">
        <v>1</v>
      </c>
      <c r="F523" s="5">
        <v>528.05999999999995</v>
      </c>
      <c r="G523" s="6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4299</v>
      </c>
      <c r="M523" t="s">
        <v>4281</v>
      </c>
      <c r="N523" s="5">
        <v>528.05999999999995</v>
      </c>
    </row>
    <row r="524" spans="1:14" x14ac:dyDescent="0.2">
      <c r="A524" t="s">
        <v>536</v>
      </c>
      <c r="B524" s="5" t="s">
        <v>4488</v>
      </c>
      <c r="C524" s="6" t="s">
        <v>1736</v>
      </c>
      <c r="D524" t="s">
        <v>2406</v>
      </c>
      <c r="E524" s="5">
        <v>1</v>
      </c>
      <c r="F524" s="5">
        <v>515.32000000000005</v>
      </c>
      <c r="G524" s="6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5">
        <v>515.32000000000005</v>
      </c>
    </row>
    <row r="525" spans="1:14" x14ac:dyDescent="0.2">
      <c r="A525" t="s">
        <v>537</v>
      </c>
      <c r="B525" s="5" t="s">
        <v>4539</v>
      </c>
      <c r="C525" s="6" t="s">
        <v>1737</v>
      </c>
      <c r="D525" t="s">
        <v>2409</v>
      </c>
      <c r="E525" s="5">
        <v>4</v>
      </c>
      <c r="F525" s="5">
        <v>657.79</v>
      </c>
      <c r="G525" s="6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7">
        <v>2631.16</v>
      </c>
    </row>
    <row r="526" spans="1:14" x14ac:dyDescent="0.2">
      <c r="A526" t="s">
        <v>538</v>
      </c>
      <c r="B526" s="5" t="s">
        <v>4527</v>
      </c>
      <c r="C526" s="6" t="s">
        <v>1738</v>
      </c>
      <c r="D526" t="s">
        <v>2404</v>
      </c>
      <c r="E526" s="5">
        <v>1</v>
      </c>
      <c r="F526" s="5">
        <v>153</v>
      </c>
      <c r="G526" s="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4299</v>
      </c>
      <c r="M526" t="s">
        <v>4279</v>
      </c>
      <c r="N526" s="5">
        <v>153</v>
      </c>
    </row>
    <row r="527" spans="1:14" x14ac:dyDescent="0.2">
      <c r="A527" t="s">
        <v>539</v>
      </c>
      <c r="B527" s="4">
        <v>44997</v>
      </c>
      <c r="C527" s="6" t="s">
        <v>1739</v>
      </c>
      <c r="D527" t="s">
        <v>2403</v>
      </c>
      <c r="E527" s="5">
        <v>1</v>
      </c>
      <c r="F527" s="5">
        <v>668.48</v>
      </c>
      <c r="G527" s="6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5">
        <v>668.48</v>
      </c>
    </row>
    <row r="528" spans="1:14" x14ac:dyDescent="0.2">
      <c r="A528" t="s">
        <v>540</v>
      </c>
      <c r="B528" s="5" t="s">
        <v>4540</v>
      </c>
      <c r="C528" s="6" t="s">
        <v>1740</v>
      </c>
      <c r="D528" t="s">
        <v>2409</v>
      </c>
      <c r="E528" s="5">
        <v>2</v>
      </c>
      <c r="F528" s="5">
        <v>46.5</v>
      </c>
      <c r="G528" s="6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5">
        <v>93</v>
      </c>
    </row>
    <row r="529" spans="1:14" x14ac:dyDescent="0.2">
      <c r="A529" t="s">
        <v>541</v>
      </c>
      <c r="B529" s="5" t="s">
        <v>4541</v>
      </c>
      <c r="C529" s="6" t="s">
        <v>1741</v>
      </c>
      <c r="D529" t="s">
        <v>2406</v>
      </c>
      <c r="E529" s="5">
        <v>5</v>
      </c>
      <c r="F529" s="5">
        <v>653.47</v>
      </c>
      <c r="G529" s="6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7">
        <v>3267.35</v>
      </c>
    </row>
    <row r="530" spans="1:14" x14ac:dyDescent="0.2">
      <c r="A530" t="s">
        <v>542</v>
      </c>
      <c r="B530" s="5" t="s">
        <v>4542</v>
      </c>
      <c r="C530" s="6" t="s">
        <v>1742</v>
      </c>
      <c r="D530" t="s">
        <v>2406</v>
      </c>
      <c r="E530" s="5">
        <v>1</v>
      </c>
      <c r="F530" s="5">
        <v>628.89</v>
      </c>
      <c r="G530" s="6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5">
        <v>628.89</v>
      </c>
    </row>
    <row r="531" spans="1:14" x14ac:dyDescent="0.2">
      <c r="A531" t="s">
        <v>543</v>
      </c>
      <c r="B531" s="4">
        <v>45477</v>
      </c>
      <c r="C531" s="6" t="s">
        <v>1743</v>
      </c>
      <c r="D531" t="s">
        <v>2405</v>
      </c>
      <c r="E531" s="5">
        <v>2</v>
      </c>
      <c r="F531" s="5">
        <v>675.1</v>
      </c>
      <c r="G531" s="6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7">
        <v>1350.2</v>
      </c>
    </row>
    <row r="532" spans="1:14" x14ac:dyDescent="0.2">
      <c r="A532" t="s">
        <v>544</v>
      </c>
      <c r="B532" s="5" t="s">
        <v>4543</v>
      </c>
      <c r="C532" s="6" t="s">
        <v>1744</v>
      </c>
      <c r="D532" t="s">
        <v>2406</v>
      </c>
      <c r="E532" s="5">
        <v>4</v>
      </c>
      <c r="F532" s="5">
        <v>89.41</v>
      </c>
      <c r="G532" s="6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4299</v>
      </c>
      <c r="M532" t="s">
        <v>4282</v>
      </c>
      <c r="N532" s="5">
        <v>357.64</v>
      </c>
    </row>
    <row r="533" spans="1:14" x14ac:dyDescent="0.2">
      <c r="A533" t="s">
        <v>545</v>
      </c>
      <c r="B533" s="4">
        <v>45329</v>
      </c>
      <c r="C533" s="6" t="s">
        <v>1745</v>
      </c>
      <c r="D533" t="s">
        <v>2409</v>
      </c>
      <c r="E533" s="5">
        <v>5</v>
      </c>
      <c r="F533" s="5">
        <v>320.01</v>
      </c>
      <c r="G533" s="6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4299</v>
      </c>
      <c r="M533" t="s">
        <v>4279</v>
      </c>
      <c r="N533" s="7">
        <v>1600.05</v>
      </c>
    </row>
    <row r="534" spans="1:14" x14ac:dyDescent="0.2">
      <c r="A534" t="s">
        <v>546</v>
      </c>
      <c r="B534" s="4">
        <v>45721</v>
      </c>
      <c r="C534" s="6" t="s">
        <v>1746</v>
      </c>
      <c r="D534" t="s">
        <v>2408</v>
      </c>
      <c r="E534" s="5">
        <v>2</v>
      </c>
      <c r="F534" s="5">
        <v>41</v>
      </c>
      <c r="G534" s="6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4299</v>
      </c>
      <c r="M534" t="s">
        <v>4280</v>
      </c>
      <c r="N534" s="5">
        <v>82</v>
      </c>
    </row>
    <row r="535" spans="1:14" x14ac:dyDescent="0.2">
      <c r="A535" t="s">
        <v>547</v>
      </c>
      <c r="B535" s="4">
        <v>45049</v>
      </c>
      <c r="C535" s="6" t="s">
        <v>1747</v>
      </c>
      <c r="D535" t="s">
        <v>2409</v>
      </c>
      <c r="E535" s="5">
        <v>1</v>
      </c>
      <c r="F535" s="5">
        <v>565.85</v>
      </c>
      <c r="G535" s="6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5">
        <v>565.85</v>
      </c>
    </row>
    <row r="536" spans="1:14" x14ac:dyDescent="0.2">
      <c r="A536" t="s">
        <v>548</v>
      </c>
      <c r="B536" s="4">
        <v>45449</v>
      </c>
      <c r="C536" s="6" t="s">
        <v>1748</v>
      </c>
      <c r="D536" t="s">
        <v>2406</v>
      </c>
      <c r="E536" s="5">
        <v>3</v>
      </c>
      <c r="F536" s="5">
        <v>648.59</v>
      </c>
      <c r="G536" s="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7">
        <v>1945.77</v>
      </c>
    </row>
    <row r="537" spans="1:14" x14ac:dyDescent="0.2">
      <c r="A537" t="s">
        <v>549</v>
      </c>
      <c r="B537" s="5" t="s">
        <v>4313</v>
      </c>
      <c r="C537" s="6" t="s">
        <v>1749</v>
      </c>
      <c r="D537" t="s">
        <v>2403</v>
      </c>
      <c r="E537" s="5">
        <v>3</v>
      </c>
      <c r="F537" s="5">
        <v>68.12</v>
      </c>
      <c r="G537" s="6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5">
        <v>204.36</v>
      </c>
    </row>
    <row r="538" spans="1:14" x14ac:dyDescent="0.2">
      <c r="A538" t="s">
        <v>550</v>
      </c>
      <c r="B538" s="4">
        <v>45541</v>
      </c>
      <c r="C538" s="6" t="s">
        <v>1750</v>
      </c>
      <c r="D538" t="s">
        <v>2406</v>
      </c>
      <c r="E538" s="5">
        <v>1</v>
      </c>
      <c r="F538" s="5">
        <v>616.1</v>
      </c>
      <c r="G538" s="6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4299</v>
      </c>
      <c r="M538" t="s">
        <v>4280</v>
      </c>
      <c r="N538" s="5">
        <v>616.1</v>
      </c>
    </row>
    <row r="539" spans="1:14" x14ac:dyDescent="0.2">
      <c r="A539" t="s">
        <v>551</v>
      </c>
      <c r="B539" s="5" t="s">
        <v>4544</v>
      </c>
      <c r="C539" s="6" t="s">
        <v>1751</v>
      </c>
      <c r="D539" t="s">
        <v>2405</v>
      </c>
      <c r="E539" s="5">
        <v>3</v>
      </c>
      <c r="F539" s="5">
        <v>247.47</v>
      </c>
      <c r="G539" s="6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5">
        <v>742.41</v>
      </c>
    </row>
    <row r="540" spans="1:14" x14ac:dyDescent="0.2">
      <c r="A540" t="s">
        <v>552</v>
      </c>
      <c r="B540" s="5" t="s">
        <v>4346</v>
      </c>
      <c r="C540" s="6" t="s">
        <v>1752</v>
      </c>
      <c r="D540" t="s">
        <v>2404</v>
      </c>
      <c r="E540" s="5">
        <v>3</v>
      </c>
      <c r="F540" s="5">
        <v>490.74</v>
      </c>
      <c r="G540" s="6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7">
        <v>1472.22</v>
      </c>
    </row>
    <row r="541" spans="1:14" x14ac:dyDescent="0.2">
      <c r="A541" t="s">
        <v>553</v>
      </c>
      <c r="B541" s="5" t="s">
        <v>4539</v>
      </c>
      <c r="C541" s="6" t="s">
        <v>1753</v>
      </c>
      <c r="D541" t="s">
        <v>2409</v>
      </c>
      <c r="E541" s="5">
        <v>3</v>
      </c>
      <c r="F541" s="5">
        <v>531.72</v>
      </c>
      <c r="G541" s="6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7">
        <v>1595.16</v>
      </c>
    </row>
    <row r="542" spans="1:14" x14ac:dyDescent="0.2">
      <c r="A542" t="s">
        <v>554</v>
      </c>
      <c r="B542" s="5" t="s">
        <v>4545</v>
      </c>
      <c r="C542" s="6" t="s">
        <v>1754</v>
      </c>
      <c r="D542" t="s">
        <v>2408</v>
      </c>
      <c r="E542" s="5">
        <v>5</v>
      </c>
      <c r="F542" s="5">
        <v>648.65</v>
      </c>
      <c r="G542" s="6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4299</v>
      </c>
      <c r="M542" t="s">
        <v>4279</v>
      </c>
      <c r="N542" s="7">
        <v>3243.25</v>
      </c>
    </row>
    <row r="543" spans="1:14" x14ac:dyDescent="0.2">
      <c r="A543" t="s">
        <v>555</v>
      </c>
      <c r="B543" s="4">
        <v>45115</v>
      </c>
      <c r="C543" s="6" t="s">
        <v>1755</v>
      </c>
      <c r="D543" t="s">
        <v>2407</v>
      </c>
      <c r="E543" s="5">
        <v>5</v>
      </c>
      <c r="F543" s="5">
        <v>456.06</v>
      </c>
      <c r="G543" s="6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4299</v>
      </c>
      <c r="M543" t="s">
        <v>4278</v>
      </c>
      <c r="N543" s="7">
        <v>2280.3000000000002</v>
      </c>
    </row>
    <row r="544" spans="1:14" x14ac:dyDescent="0.2">
      <c r="A544" t="s">
        <v>556</v>
      </c>
      <c r="B544" s="5" t="s">
        <v>4546</v>
      </c>
      <c r="C544" s="6" t="s">
        <v>1756</v>
      </c>
      <c r="D544" t="s">
        <v>2405</v>
      </c>
      <c r="E544" s="5">
        <v>1</v>
      </c>
      <c r="F544" s="5">
        <v>17.98</v>
      </c>
      <c r="G544" s="6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5">
        <v>17.98</v>
      </c>
    </row>
    <row r="545" spans="1:14" x14ac:dyDescent="0.2">
      <c r="A545" t="s">
        <v>557</v>
      </c>
      <c r="B545" s="4">
        <v>45538</v>
      </c>
      <c r="C545" s="6" t="s">
        <v>1757</v>
      </c>
      <c r="D545" t="s">
        <v>2409</v>
      </c>
      <c r="E545" s="5">
        <v>5</v>
      </c>
      <c r="F545" s="5">
        <v>269.86</v>
      </c>
      <c r="G545" s="6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7">
        <v>1349.3</v>
      </c>
    </row>
    <row r="546" spans="1:14" x14ac:dyDescent="0.2">
      <c r="A546" t="s">
        <v>558</v>
      </c>
      <c r="B546" s="4">
        <v>45568</v>
      </c>
      <c r="C546" s="6" t="s">
        <v>1758</v>
      </c>
      <c r="D546" t="s">
        <v>2407</v>
      </c>
      <c r="E546" s="5">
        <v>5</v>
      </c>
      <c r="F546" s="5">
        <v>31.96</v>
      </c>
      <c r="G546" s="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5">
        <v>159.80000000000001</v>
      </c>
    </row>
    <row r="547" spans="1:14" x14ac:dyDescent="0.2">
      <c r="A547" t="s">
        <v>559</v>
      </c>
      <c r="B547" s="5" t="s">
        <v>4459</v>
      </c>
      <c r="C547" s="6" t="s">
        <v>1759</v>
      </c>
      <c r="D547" t="s">
        <v>2403</v>
      </c>
      <c r="E547" s="5">
        <v>2</v>
      </c>
      <c r="F547" s="5">
        <v>98.47</v>
      </c>
      <c r="G547" s="6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4299</v>
      </c>
      <c r="M547" t="s">
        <v>4278</v>
      </c>
      <c r="N547" s="5">
        <v>196.94</v>
      </c>
    </row>
    <row r="548" spans="1:14" x14ac:dyDescent="0.2">
      <c r="A548" t="s">
        <v>560</v>
      </c>
      <c r="B548" s="4">
        <v>45294</v>
      </c>
      <c r="C548" s="6" t="s">
        <v>1760</v>
      </c>
      <c r="D548" t="s">
        <v>2403</v>
      </c>
      <c r="E548" s="5">
        <v>1</v>
      </c>
      <c r="F548" s="5">
        <v>158.68</v>
      </c>
      <c r="G548" s="6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5">
        <v>158.68</v>
      </c>
    </row>
    <row r="549" spans="1:14" x14ac:dyDescent="0.2">
      <c r="A549" t="s">
        <v>561</v>
      </c>
      <c r="B549" s="5" t="s">
        <v>4321</v>
      </c>
      <c r="C549" s="6" t="s">
        <v>1761</v>
      </c>
      <c r="D549" t="s">
        <v>2404</v>
      </c>
      <c r="E549" s="5">
        <v>1</v>
      </c>
      <c r="F549" s="5">
        <v>613.98</v>
      </c>
      <c r="G549" s="6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5">
        <v>613.98</v>
      </c>
    </row>
    <row r="550" spans="1:14" x14ac:dyDescent="0.2">
      <c r="A550" t="s">
        <v>562</v>
      </c>
      <c r="B550" s="4">
        <v>45413</v>
      </c>
      <c r="C550" s="6" t="s">
        <v>1762</v>
      </c>
      <c r="D550" t="s">
        <v>2407</v>
      </c>
      <c r="E550" s="5">
        <v>3</v>
      </c>
      <c r="F550" s="5">
        <v>426.12</v>
      </c>
      <c r="G550" s="6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7">
        <v>1278.3599999999999</v>
      </c>
    </row>
    <row r="551" spans="1:14" x14ac:dyDescent="0.2">
      <c r="A551" t="s">
        <v>563</v>
      </c>
      <c r="B551" s="5" t="s">
        <v>4350</v>
      </c>
      <c r="C551" s="6" t="s">
        <v>1763</v>
      </c>
      <c r="D551" t="s">
        <v>2403</v>
      </c>
      <c r="E551" s="5">
        <v>4</v>
      </c>
      <c r="F551" s="5">
        <v>629.88</v>
      </c>
      <c r="G551" s="6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7">
        <v>2519.52</v>
      </c>
    </row>
    <row r="552" spans="1:14" x14ac:dyDescent="0.2">
      <c r="A552" t="s">
        <v>564</v>
      </c>
      <c r="B552" s="5" t="s">
        <v>4547</v>
      </c>
      <c r="C552" s="6" t="s">
        <v>1764</v>
      </c>
      <c r="D552" t="s">
        <v>2408</v>
      </c>
      <c r="E552" s="5">
        <v>4</v>
      </c>
      <c r="F552" s="5">
        <v>228.91</v>
      </c>
      <c r="G552" s="6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5">
        <v>915.64</v>
      </c>
    </row>
    <row r="553" spans="1:14" x14ac:dyDescent="0.2">
      <c r="A553" t="s">
        <v>565</v>
      </c>
      <c r="B553" s="5" t="s">
        <v>4548</v>
      </c>
      <c r="C553" s="6" t="s">
        <v>1765</v>
      </c>
      <c r="D553" t="s">
        <v>2408</v>
      </c>
      <c r="E553" s="5">
        <v>1</v>
      </c>
      <c r="F553" s="5">
        <v>120.98</v>
      </c>
      <c r="G553" s="6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5">
        <v>120.98</v>
      </c>
    </row>
    <row r="554" spans="1:14" x14ac:dyDescent="0.2">
      <c r="A554" t="s">
        <v>566</v>
      </c>
      <c r="B554" s="5" t="s">
        <v>4549</v>
      </c>
      <c r="C554" s="6" t="s">
        <v>1766</v>
      </c>
      <c r="D554" t="s">
        <v>2406</v>
      </c>
      <c r="E554" s="5">
        <v>4</v>
      </c>
      <c r="F554" s="5">
        <v>425.18</v>
      </c>
      <c r="G554" s="6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7">
        <v>1700.72</v>
      </c>
    </row>
    <row r="555" spans="1:14" x14ac:dyDescent="0.2">
      <c r="A555" t="s">
        <v>567</v>
      </c>
      <c r="B555" s="5" t="s">
        <v>4550</v>
      </c>
      <c r="C555" s="6" t="s">
        <v>1767</v>
      </c>
      <c r="D555" t="s">
        <v>2404</v>
      </c>
      <c r="E555" s="5">
        <v>2</v>
      </c>
      <c r="F555" s="5">
        <v>333.83</v>
      </c>
      <c r="G555" s="6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5">
        <v>667.66</v>
      </c>
    </row>
    <row r="556" spans="1:14" x14ac:dyDescent="0.2">
      <c r="A556" t="s">
        <v>568</v>
      </c>
      <c r="B556" s="5" t="s">
        <v>4551</v>
      </c>
      <c r="C556" s="6" t="s">
        <v>1768</v>
      </c>
      <c r="D556" t="s">
        <v>2408</v>
      </c>
      <c r="E556" s="5">
        <v>2</v>
      </c>
      <c r="F556" s="5">
        <v>492.9</v>
      </c>
      <c r="G556" s="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5">
        <v>985.8</v>
      </c>
    </row>
    <row r="557" spans="1:14" x14ac:dyDescent="0.2">
      <c r="A557" t="s">
        <v>569</v>
      </c>
      <c r="B557" s="4">
        <v>45108</v>
      </c>
      <c r="C557" s="6" t="s">
        <v>1769</v>
      </c>
      <c r="D557" t="s">
        <v>2405</v>
      </c>
      <c r="E557" s="5">
        <v>1</v>
      </c>
      <c r="F557" s="5">
        <v>92.04</v>
      </c>
      <c r="G557" s="6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4299</v>
      </c>
      <c r="M557" t="s">
        <v>4281</v>
      </c>
      <c r="N557" s="5">
        <v>92.04</v>
      </c>
    </row>
    <row r="558" spans="1:14" x14ac:dyDescent="0.2">
      <c r="A558" t="s">
        <v>570</v>
      </c>
      <c r="B558" s="5" t="s">
        <v>4552</v>
      </c>
      <c r="C558" s="6" t="s">
        <v>1770</v>
      </c>
      <c r="D558" t="s">
        <v>2408</v>
      </c>
      <c r="E558" s="5">
        <v>1</v>
      </c>
      <c r="F558" s="5">
        <v>654.27</v>
      </c>
      <c r="G558" s="6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5">
        <v>654.27</v>
      </c>
    </row>
    <row r="559" spans="1:14" x14ac:dyDescent="0.2">
      <c r="A559" t="s">
        <v>571</v>
      </c>
      <c r="B559" s="5" t="s">
        <v>4468</v>
      </c>
      <c r="C559" s="6" t="s">
        <v>1771</v>
      </c>
      <c r="D559" t="s">
        <v>2405</v>
      </c>
      <c r="E559" s="5">
        <v>1</v>
      </c>
      <c r="F559" s="5">
        <v>56.2</v>
      </c>
      <c r="G559" s="6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5">
        <v>56.2</v>
      </c>
    </row>
    <row r="560" spans="1:14" x14ac:dyDescent="0.2">
      <c r="A560" t="s">
        <v>572</v>
      </c>
      <c r="B560" s="5" t="s">
        <v>4553</v>
      </c>
      <c r="C560" s="6" t="s">
        <v>1772</v>
      </c>
      <c r="D560" t="s">
        <v>2404</v>
      </c>
      <c r="E560" s="5">
        <v>4</v>
      </c>
      <c r="F560" s="5">
        <v>628.12</v>
      </c>
      <c r="G560" s="6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7">
        <v>2512.48</v>
      </c>
    </row>
    <row r="561" spans="1:14" x14ac:dyDescent="0.2">
      <c r="A561" t="s">
        <v>573</v>
      </c>
      <c r="B561" s="5" t="s">
        <v>4369</v>
      </c>
      <c r="C561" s="6" t="s">
        <v>1773</v>
      </c>
      <c r="D561" t="s">
        <v>2409</v>
      </c>
      <c r="E561" s="5">
        <v>3</v>
      </c>
      <c r="F561" s="5">
        <v>157.4</v>
      </c>
      <c r="G561" s="6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5">
        <v>472.2</v>
      </c>
    </row>
    <row r="562" spans="1:14" x14ac:dyDescent="0.2">
      <c r="A562" t="s">
        <v>574</v>
      </c>
      <c r="B562" s="5" t="s">
        <v>4554</v>
      </c>
      <c r="C562" s="6" t="s">
        <v>1774</v>
      </c>
      <c r="D562" t="s">
        <v>2403</v>
      </c>
      <c r="E562" s="5">
        <v>4</v>
      </c>
      <c r="F562" s="5">
        <v>588.85</v>
      </c>
      <c r="G562" s="6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4299</v>
      </c>
      <c r="M562" t="s">
        <v>4280</v>
      </c>
      <c r="N562" s="7">
        <v>2355.4</v>
      </c>
    </row>
    <row r="563" spans="1:14" x14ac:dyDescent="0.2">
      <c r="A563" t="s">
        <v>575</v>
      </c>
      <c r="B563" s="5" t="s">
        <v>4554</v>
      </c>
      <c r="C563" s="6" t="s">
        <v>1775</v>
      </c>
      <c r="D563" t="s">
        <v>2407</v>
      </c>
      <c r="E563" s="5">
        <v>2</v>
      </c>
      <c r="F563" s="5">
        <v>494.78</v>
      </c>
      <c r="G563" s="6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4299</v>
      </c>
      <c r="M563" t="s">
        <v>4282</v>
      </c>
      <c r="N563" s="5">
        <v>989.56</v>
      </c>
    </row>
    <row r="564" spans="1:14" x14ac:dyDescent="0.2">
      <c r="A564" t="s">
        <v>576</v>
      </c>
      <c r="B564" s="4">
        <v>45087</v>
      </c>
      <c r="C564" s="6" t="s">
        <v>1776</v>
      </c>
      <c r="D564" t="s">
        <v>2408</v>
      </c>
      <c r="E564" s="5">
        <v>3</v>
      </c>
      <c r="F564" s="5">
        <v>663.93</v>
      </c>
      <c r="G564" s="6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7">
        <v>1991.79</v>
      </c>
    </row>
    <row r="565" spans="1:14" x14ac:dyDescent="0.2">
      <c r="A565" t="s">
        <v>577</v>
      </c>
      <c r="B565" s="4">
        <v>45272</v>
      </c>
      <c r="C565" s="6" t="s">
        <v>1777</v>
      </c>
      <c r="D565" t="s">
        <v>2408</v>
      </c>
      <c r="E565" s="5">
        <v>1</v>
      </c>
      <c r="F565" s="5">
        <v>132.68</v>
      </c>
      <c r="G565" s="6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5">
        <v>132.68</v>
      </c>
    </row>
    <row r="566" spans="1:14" x14ac:dyDescent="0.2">
      <c r="A566" t="s">
        <v>578</v>
      </c>
      <c r="B566" s="4">
        <v>45873</v>
      </c>
      <c r="C566" s="6" t="s">
        <v>1778</v>
      </c>
      <c r="D566" t="s">
        <v>2409</v>
      </c>
      <c r="E566" s="5">
        <v>5</v>
      </c>
      <c r="F566" s="5">
        <v>364.28</v>
      </c>
      <c r="G566" s="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7">
        <v>1821.4</v>
      </c>
    </row>
    <row r="567" spans="1:14" x14ac:dyDescent="0.2">
      <c r="A567" t="s">
        <v>579</v>
      </c>
      <c r="B567" s="5" t="s">
        <v>4555</v>
      </c>
      <c r="C567" s="6" t="s">
        <v>1779</v>
      </c>
      <c r="D567" t="s">
        <v>2405</v>
      </c>
      <c r="E567" s="5">
        <v>5</v>
      </c>
      <c r="F567" s="5">
        <v>307.98</v>
      </c>
      <c r="G567" s="6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4299</v>
      </c>
      <c r="M567" t="s">
        <v>4281</v>
      </c>
      <c r="N567" s="7">
        <v>1539.9</v>
      </c>
    </row>
    <row r="568" spans="1:14" x14ac:dyDescent="0.2">
      <c r="A568" t="s">
        <v>580</v>
      </c>
      <c r="B568" s="5" t="s">
        <v>4404</v>
      </c>
      <c r="C568" s="6" t="s">
        <v>1780</v>
      </c>
      <c r="D568" t="s">
        <v>2404</v>
      </c>
      <c r="E568" s="5">
        <v>4</v>
      </c>
      <c r="F568" s="5">
        <v>162.71</v>
      </c>
      <c r="G568" s="6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5">
        <v>650.84</v>
      </c>
    </row>
    <row r="569" spans="1:14" x14ac:dyDescent="0.2">
      <c r="A569" t="s">
        <v>581</v>
      </c>
      <c r="B569" s="5" t="s">
        <v>4556</v>
      </c>
      <c r="C569" s="6" t="s">
        <v>1781</v>
      </c>
      <c r="D569" t="s">
        <v>2406</v>
      </c>
      <c r="E569" s="5">
        <v>5</v>
      </c>
      <c r="F569" s="5">
        <v>492.94</v>
      </c>
      <c r="G569" s="6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7">
        <v>2464.6999999999998</v>
      </c>
    </row>
    <row r="570" spans="1:14" x14ac:dyDescent="0.2">
      <c r="A570" t="s">
        <v>582</v>
      </c>
      <c r="B570" s="4">
        <v>45202</v>
      </c>
      <c r="C570" s="6" t="s">
        <v>1782</v>
      </c>
      <c r="D570" t="s">
        <v>2408</v>
      </c>
      <c r="E570" s="5">
        <v>2</v>
      </c>
      <c r="F570" s="5">
        <v>343.99</v>
      </c>
      <c r="G570" s="6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4299</v>
      </c>
      <c r="M570" t="s">
        <v>4282</v>
      </c>
      <c r="N570" s="5">
        <v>687.98</v>
      </c>
    </row>
    <row r="571" spans="1:14" x14ac:dyDescent="0.2">
      <c r="A571" t="s">
        <v>583</v>
      </c>
      <c r="B571" s="5" t="s">
        <v>4316</v>
      </c>
      <c r="C571" s="6" t="s">
        <v>1783</v>
      </c>
      <c r="D571" t="s">
        <v>2409</v>
      </c>
      <c r="E571" s="5">
        <v>5</v>
      </c>
      <c r="F571" s="5">
        <v>250.68</v>
      </c>
      <c r="G571" s="6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7">
        <v>1253.4000000000001</v>
      </c>
    </row>
    <row r="572" spans="1:14" x14ac:dyDescent="0.2">
      <c r="A572" t="s">
        <v>584</v>
      </c>
      <c r="B572" s="5" t="s">
        <v>4557</v>
      </c>
      <c r="C572" s="6" t="s">
        <v>1784</v>
      </c>
      <c r="D572" t="s">
        <v>2409</v>
      </c>
      <c r="E572" s="5">
        <v>2</v>
      </c>
      <c r="F572" s="5">
        <v>362.14</v>
      </c>
      <c r="G572" s="6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5">
        <v>724.28</v>
      </c>
    </row>
    <row r="573" spans="1:14" x14ac:dyDescent="0.2">
      <c r="A573" t="s">
        <v>585</v>
      </c>
      <c r="B573" s="5" t="s">
        <v>4558</v>
      </c>
      <c r="C573" s="6" t="s">
        <v>1785</v>
      </c>
      <c r="D573" t="s">
        <v>2405</v>
      </c>
      <c r="E573" s="5">
        <v>1</v>
      </c>
      <c r="F573" s="5">
        <v>214.08</v>
      </c>
      <c r="G573" s="6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5">
        <v>214.08</v>
      </c>
    </row>
    <row r="574" spans="1:14" x14ac:dyDescent="0.2">
      <c r="A574" t="s">
        <v>586</v>
      </c>
      <c r="B574" s="4">
        <v>45241</v>
      </c>
      <c r="C574" s="6" t="s">
        <v>1786</v>
      </c>
      <c r="D574" t="s">
        <v>2407</v>
      </c>
      <c r="E574" s="5">
        <v>1</v>
      </c>
      <c r="F574" s="5">
        <v>70.319999999999993</v>
      </c>
      <c r="G574" s="6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5">
        <v>70.319999999999993</v>
      </c>
    </row>
    <row r="575" spans="1:14" x14ac:dyDescent="0.2">
      <c r="A575" t="s">
        <v>587</v>
      </c>
      <c r="B575" s="5" t="s">
        <v>4457</v>
      </c>
      <c r="C575" s="6" t="s">
        <v>1787</v>
      </c>
      <c r="D575" t="s">
        <v>2406</v>
      </c>
      <c r="E575" s="5">
        <v>5</v>
      </c>
      <c r="F575" s="5">
        <v>421.42</v>
      </c>
      <c r="G575" s="6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4299</v>
      </c>
      <c r="M575" t="s">
        <v>4278</v>
      </c>
      <c r="N575" s="7">
        <v>2107.1</v>
      </c>
    </row>
    <row r="576" spans="1:14" x14ac:dyDescent="0.2">
      <c r="A576" t="s">
        <v>588</v>
      </c>
      <c r="B576" s="5" t="s">
        <v>4559</v>
      </c>
      <c r="C576" s="6" t="s">
        <v>1788</v>
      </c>
      <c r="D576" t="s">
        <v>2406</v>
      </c>
      <c r="E576" s="5">
        <v>5</v>
      </c>
      <c r="F576" s="5">
        <v>384.69</v>
      </c>
      <c r="G576" s="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7">
        <v>1923.45</v>
      </c>
    </row>
    <row r="577" spans="1:14" x14ac:dyDescent="0.2">
      <c r="A577" t="s">
        <v>589</v>
      </c>
      <c r="B577" s="4">
        <v>45113</v>
      </c>
      <c r="C577" s="6" t="s">
        <v>1789</v>
      </c>
      <c r="D577" t="s">
        <v>2406</v>
      </c>
      <c r="E577" s="5">
        <v>5</v>
      </c>
      <c r="F577" s="5">
        <v>448.15</v>
      </c>
      <c r="G577" s="6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7">
        <v>2240.75</v>
      </c>
    </row>
    <row r="578" spans="1:14" x14ac:dyDescent="0.2">
      <c r="A578" t="s">
        <v>590</v>
      </c>
      <c r="B578" s="5" t="s">
        <v>4526</v>
      </c>
      <c r="C578" s="6" t="s">
        <v>1790</v>
      </c>
      <c r="D578" t="s">
        <v>2408</v>
      </c>
      <c r="E578" s="5">
        <v>5</v>
      </c>
      <c r="F578" s="5">
        <v>79.08</v>
      </c>
      <c r="G578" s="6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4299</v>
      </c>
      <c r="M578" t="s">
        <v>4281</v>
      </c>
      <c r="N578" s="5">
        <v>395.4</v>
      </c>
    </row>
    <row r="579" spans="1:14" x14ac:dyDescent="0.2">
      <c r="A579" t="s">
        <v>591</v>
      </c>
      <c r="B579" s="5" t="s">
        <v>4333</v>
      </c>
      <c r="C579" s="6" t="s">
        <v>1791</v>
      </c>
      <c r="D579" t="s">
        <v>2405</v>
      </c>
      <c r="E579" s="5">
        <v>4</v>
      </c>
      <c r="F579" s="5">
        <v>185.41</v>
      </c>
      <c r="G579" s="6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5">
        <v>741.64</v>
      </c>
    </row>
    <row r="580" spans="1:14" x14ac:dyDescent="0.2">
      <c r="A580" t="s">
        <v>592</v>
      </c>
      <c r="B580" s="4">
        <v>45575</v>
      </c>
      <c r="C580" s="6" t="s">
        <v>1792</v>
      </c>
      <c r="D580" t="s">
        <v>2403</v>
      </c>
      <c r="E580" s="5">
        <v>5</v>
      </c>
      <c r="F580" s="5">
        <v>566.07000000000005</v>
      </c>
      <c r="G580" s="6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7">
        <v>2830.35</v>
      </c>
    </row>
    <row r="581" spans="1:14" x14ac:dyDescent="0.2">
      <c r="A581" t="s">
        <v>593</v>
      </c>
      <c r="B581" s="4">
        <v>45022</v>
      </c>
      <c r="C581" s="6" t="s">
        <v>1793</v>
      </c>
      <c r="D581" t="s">
        <v>2405</v>
      </c>
      <c r="E581" s="5">
        <v>2</v>
      </c>
      <c r="F581" s="5">
        <v>187.88</v>
      </c>
      <c r="G581" s="6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5">
        <v>375.76</v>
      </c>
    </row>
    <row r="582" spans="1:14" x14ac:dyDescent="0.2">
      <c r="A582" t="s">
        <v>594</v>
      </c>
      <c r="B582" s="5" t="s">
        <v>4546</v>
      </c>
      <c r="C582" s="6" t="s">
        <v>1794</v>
      </c>
      <c r="D582" t="s">
        <v>2403</v>
      </c>
      <c r="E582" s="5">
        <v>2</v>
      </c>
      <c r="F582" s="5">
        <v>255.99</v>
      </c>
      <c r="G582" s="6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5">
        <v>511.98</v>
      </c>
    </row>
    <row r="583" spans="1:14" x14ac:dyDescent="0.2">
      <c r="A583" t="s">
        <v>595</v>
      </c>
      <c r="B583" s="4">
        <v>45607</v>
      </c>
      <c r="C583" s="6" t="s">
        <v>1795</v>
      </c>
      <c r="D583" t="s">
        <v>2408</v>
      </c>
      <c r="E583" s="5">
        <v>1</v>
      </c>
      <c r="F583" s="5">
        <v>627.34</v>
      </c>
      <c r="G583" s="6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4299</v>
      </c>
      <c r="M583" t="s">
        <v>4279</v>
      </c>
      <c r="N583" s="5">
        <v>627.34</v>
      </c>
    </row>
    <row r="584" spans="1:14" x14ac:dyDescent="0.2">
      <c r="A584" t="s">
        <v>596</v>
      </c>
      <c r="B584" s="5" t="s">
        <v>4560</v>
      </c>
      <c r="C584" s="6" t="s">
        <v>1796</v>
      </c>
      <c r="D584" t="s">
        <v>2405</v>
      </c>
      <c r="E584" s="5">
        <v>3</v>
      </c>
      <c r="F584" s="5">
        <v>474.14</v>
      </c>
      <c r="G584" s="6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7">
        <v>1422.42</v>
      </c>
    </row>
    <row r="585" spans="1:14" x14ac:dyDescent="0.2">
      <c r="A585" t="s">
        <v>597</v>
      </c>
      <c r="B585" s="5" t="s">
        <v>4561</v>
      </c>
      <c r="C585" s="6" t="s">
        <v>1797</v>
      </c>
      <c r="D585" t="s">
        <v>2406</v>
      </c>
      <c r="E585" s="5">
        <v>3</v>
      </c>
      <c r="F585" s="5">
        <v>154.37</v>
      </c>
      <c r="G585" s="6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4299</v>
      </c>
      <c r="M585" t="s">
        <v>4278</v>
      </c>
      <c r="N585" s="5">
        <v>463.11</v>
      </c>
    </row>
    <row r="586" spans="1:14" x14ac:dyDescent="0.2">
      <c r="A586" t="s">
        <v>598</v>
      </c>
      <c r="B586" s="5" t="s">
        <v>4562</v>
      </c>
      <c r="C586" s="6" t="s">
        <v>1798</v>
      </c>
      <c r="D586" t="s">
        <v>2406</v>
      </c>
      <c r="E586" s="5">
        <v>4</v>
      </c>
      <c r="F586" s="5">
        <v>145.05000000000001</v>
      </c>
      <c r="G586" s="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5">
        <v>580.20000000000005</v>
      </c>
    </row>
    <row r="587" spans="1:14" x14ac:dyDescent="0.2">
      <c r="A587" t="s">
        <v>599</v>
      </c>
      <c r="B587" s="5" t="s">
        <v>4321</v>
      </c>
      <c r="C587" s="6" t="s">
        <v>1799</v>
      </c>
      <c r="D587" t="s">
        <v>2405</v>
      </c>
      <c r="E587" s="5">
        <v>4</v>
      </c>
      <c r="F587" s="5">
        <v>67.08</v>
      </c>
      <c r="G587" s="6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5">
        <v>268.32</v>
      </c>
    </row>
    <row r="588" spans="1:14" x14ac:dyDescent="0.2">
      <c r="A588" t="s">
        <v>600</v>
      </c>
      <c r="B588" s="4">
        <v>45576</v>
      </c>
      <c r="C588" s="6" t="s">
        <v>1800</v>
      </c>
      <c r="D588" t="s">
        <v>2403</v>
      </c>
      <c r="E588" s="5">
        <v>1</v>
      </c>
      <c r="F588" s="5">
        <v>522.08000000000004</v>
      </c>
      <c r="G588" s="6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5">
        <v>522.08000000000004</v>
      </c>
    </row>
    <row r="589" spans="1:14" x14ac:dyDescent="0.2">
      <c r="A589" t="s">
        <v>601</v>
      </c>
      <c r="B589" s="4">
        <v>45266</v>
      </c>
      <c r="C589" s="6" t="s">
        <v>1801</v>
      </c>
      <c r="D589" t="s">
        <v>2403</v>
      </c>
      <c r="E589" s="5">
        <v>5</v>
      </c>
      <c r="F589" s="5">
        <v>514.6</v>
      </c>
      <c r="G589" s="6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7">
        <v>2573</v>
      </c>
    </row>
    <row r="590" spans="1:14" x14ac:dyDescent="0.2">
      <c r="A590" t="s">
        <v>602</v>
      </c>
      <c r="B590" s="4">
        <v>45577</v>
      </c>
      <c r="C590" s="6" t="s">
        <v>1802</v>
      </c>
      <c r="D590" t="s">
        <v>2403</v>
      </c>
      <c r="E590" s="5">
        <v>4</v>
      </c>
      <c r="F590" s="5">
        <v>577.82000000000005</v>
      </c>
      <c r="G590" s="6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4299</v>
      </c>
      <c r="M590" t="s">
        <v>4282</v>
      </c>
      <c r="N590" s="7">
        <v>2311.2800000000002</v>
      </c>
    </row>
    <row r="591" spans="1:14" x14ac:dyDescent="0.2">
      <c r="A591" t="s">
        <v>603</v>
      </c>
      <c r="B591" s="4">
        <v>45932</v>
      </c>
      <c r="C591" s="6" t="s">
        <v>1803</v>
      </c>
      <c r="D591" t="s">
        <v>2408</v>
      </c>
      <c r="E591" s="5">
        <v>2</v>
      </c>
      <c r="F591" s="5">
        <v>500.8</v>
      </c>
      <c r="G591" s="6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7">
        <v>1001.6</v>
      </c>
    </row>
    <row r="592" spans="1:14" x14ac:dyDescent="0.2">
      <c r="A592" t="s">
        <v>604</v>
      </c>
      <c r="B592" s="4">
        <v>45208</v>
      </c>
      <c r="C592" s="6" t="s">
        <v>1804</v>
      </c>
      <c r="D592" t="s">
        <v>2407</v>
      </c>
      <c r="E592" s="5">
        <v>2</v>
      </c>
      <c r="F592" s="5">
        <v>461.13</v>
      </c>
      <c r="G592" s="6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4299</v>
      </c>
      <c r="M592" t="s">
        <v>4280</v>
      </c>
      <c r="N592" s="5">
        <v>922.26</v>
      </c>
    </row>
    <row r="593" spans="1:14" x14ac:dyDescent="0.2">
      <c r="A593" t="s">
        <v>605</v>
      </c>
      <c r="B593" s="5" t="s">
        <v>4450</v>
      </c>
      <c r="C593" s="6" t="s">
        <v>1805</v>
      </c>
      <c r="D593" t="s">
        <v>2408</v>
      </c>
      <c r="E593" s="5">
        <v>1</v>
      </c>
      <c r="F593" s="5">
        <v>605.28</v>
      </c>
      <c r="G593" s="6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5">
        <v>605.28</v>
      </c>
    </row>
    <row r="594" spans="1:14" x14ac:dyDescent="0.2">
      <c r="A594" t="s">
        <v>606</v>
      </c>
      <c r="B594" s="5" t="s">
        <v>4441</v>
      </c>
      <c r="C594" s="6" t="s">
        <v>1806</v>
      </c>
      <c r="D594" t="s">
        <v>2404</v>
      </c>
      <c r="E594" s="5">
        <v>3</v>
      </c>
      <c r="F594" s="5">
        <v>204.27</v>
      </c>
      <c r="G594" s="6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4299</v>
      </c>
      <c r="M594" t="s">
        <v>4282</v>
      </c>
      <c r="N594" s="5">
        <v>612.80999999999995</v>
      </c>
    </row>
    <row r="595" spans="1:14" x14ac:dyDescent="0.2">
      <c r="A595" t="s">
        <v>607</v>
      </c>
      <c r="B595" s="4">
        <v>44965</v>
      </c>
      <c r="C595" s="6" t="s">
        <v>1807</v>
      </c>
      <c r="D595" t="s">
        <v>2403</v>
      </c>
      <c r="E595" s="5">
        <v>1</v>
      </c>
      <c r="F595" s="5">
        <v>489.8</v>
      </c>
      <c r="G595" s="6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5">
        <v>489.8</v>
      </c>
    </row>
    <row r="596" spans="1:14" x14ac:dyDescent="0.2">
      <c r="A596" t="s">
        <v>608</v>
      </c>
      <c r="B596" s="5" t="s">
        <v>4563</v>
      </c>
      <c r="C596" s="6" t="s">
        <v>1808</v>
      </c>
      <c r="D596" t="s">
        <v>2404</v>
      </c>
      <c r="E596" s="5">
        <v>5</v>
      </c>
      <c r="F596" s="5">
        <v>72.64</v>
      </c>
      <c r="G596" s="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4299</v>
      </c>
      <c r="M596" t="s">
        <v>4280</v>
      </c>
      <c r="N596" s="5">
        <v>363.2</v>
      </c>
    </row>
    <row r="597" spans="1:14" x14ac:dyDescent="0.2">
      <c r="A597" t="s">
        <v>609</v>
      </c>
      <c r="B597" s="4">
        <v>45931</v>
      </c>
      <c r="C597" s="6" t="s">
        <v>1809</v>
      </c>
      <c r="D597" t="s">
        <v>2407</v>
      </c>
      <c r="E597" s="5">
        <v>2</v>
      </c>
      <c r="F597" s="5">
        <v>385.16</v>
      </c>
      <c r="G597" s="6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5">
        <v>770.32</v>
      </c>
    </row>
    <row r="598" spans="1:14" x14ac:dyDescent="0.2">
      <c r="A598" t="s">
        <v>610</v>
      </c>
      <c r="B598" s="4">
        <v>45266</v>
      </c>
      <c r="C598" s="6" t="s">
        <v>1810</v>
      </c>
      <c r="D598" t="s">
        <v>2409</v>
      </c>
      <c r="E598" s="5">
        <v>3</v>
      </c>
      <c r="F598" s="5">
        <v>606.41</v>
      </c>
      <c r="G598" s="6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7">
        <v>1819.23</v>
      </c>
    </row>
    <row r="599" spans="1:14" x14ac:dyDescent="0.2">
      <c r="A599" t="s">
        <v>611</v>
      </c>
      <c r="B599" s="5" t="s">
        <v>4564</v>
      </c>
      <c r="C599" s="6" t="s">
        <v>1811</v>
      </c>
      <c r="D599" t="s">
        <v>2409</v>
      </c>
      <c r="E599" s="5">
        <v>2</v>
      </c>
      <c r="F599" s="5">
        <v>211.82</v>
      </c>
      <c r="G599" s="6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5">
        <v>423.64</v>
      </c>
    </row>
    <row r="600" spans="1:14" x14ac:dyDescent="0.2">
      <c r="A600" t="s">
        <v>612</v>
      </c>
      <c r="B600" s="5" t="s">
        <v>4565</v>
      </c>
      <c r="C600" s="6" t="s">
        <v>1812</v>
      </c>
      <c r="D600" t="s">
        <v>2409</v>
      </c>
      <c r="E600" s="5">
        <v>5</v>
      </c>
      <c r="F600" s="5">
        <v>495.35</v>
      </c>
      <c r="G600" s="6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4299</v>
      </c>
      <c r="M600" t="s">
        <v>4281</v>
      </c>
      <c r="N600" s="7">
        <v>2476.75</v>
      </c>
    </row>
    <row r="601" spans="1:14" x14ac:dyDescent="0.2">
      <c r="A601" t="s">
        <v>613</v>
      </c>
      <c r="B601" s="5" t="s">
        <v>4317</v>
      </c>
      <c r="C601" s="6" t="s">
        <v>1813</v>
      </c>
      <c r="D601" t="s">
        <v>2406</v>
      </c>
      <c r="E601" s="5">
        <v>3</v>
      </c>
      <c r="F601" s="5">
        <v>556.99</v>
      </c>
      <c r="G601" s="6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7">
        <v>1670.97</v>
      </c>
    </row>
    <row r="602" spans="1:14" x14ac:dyDescent="0.2">
      <c r="A602" t="s">
        <v>614</v>
      </c>
      <c r="B602" s="5" t="s">
        <v>4341</v>
      </c>
      <c r="C602" s="6" t="s">
        <v>1814</v>
      </c>
      <c r="D602" t="s">
        <v>2407</v>
      </c>
      <c r="E602" s="5">
        <v>1</v>
      </c>
      <c r="F602" s="5">
        <v>72.31</v>
      </c>
      <c r="G602" s="6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5">
        <v>72.31</v>
      </c>
    </row>
    <row r="603" spans="1:14" x14ac:dyDescent="0.2">
      <c r="A603" t="s">
        <v>615</v>
      </c>
      <c r="B603" s="4">
        <v>44967</v>
      </c>
      <c r="C603" s="6" t="s">
        <v>1815</v>
      </c>
      <c r="D603" t="s">
        <v>2403</v>
      </c>
      <c r="E603" s="5">
        <v>5</v>
      </c>
      <c r="F603" s="5">
        <v>24.82</v>
      </c>
      <c r="G603" s="6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4299</v>
      </c>
      <c r="M603" t="s">
        <v>4279</v>
      </c>
      <c r="N603" s="5">
        <v>124.1</v>
      </c>
    </row>
    <row r="604" spans="1:14" x14ac:dyDescent="0.2">
      <c r="A604" t="s">
        <v>616</v>
      </c>
      <c r="B604" s="4">
        <v>45415</v>
      </c>
      <c r="C604" s="6" t="s">
        <v>1696</v>
      </c>
      <c r="D604" t="s">
        <v>2405</v>
      </c>
      <c r="E604" s="5">
        <v>4</v>
      </c>
      <c r="F604" s="5">
        <v>26.04</v>
      </c>
      <c r="G604" s="6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5">
        <v>104.16</v>
      </c>
    </row>
    <row r="605" spans="1:14" x14ac:dyDescent="0.2">
      <c r="A605" t="s">
        <v>617</v>
      </c>
      <c r="B605" s="4">
        <v>45392</v>
      </c>
      <c r="C605" s="6" t="s">
        <v>1816</v>
      </c>
      <c r="D605" t="s">
        <v>2405</v>
      </c>
      <c r="E605" s="5">
        <v>1</v>
      </c>
      <c r="F605" s="5">
        <v>657.07</v>
      </c>
      <c r="G605" s="6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5">
        <v>657.07</v>
      </c>
    </row>
    <row r="606" spans="1:14" x14ac:dyDescent="0.2">
      <c r="A606" t="s">
        <v>618</v>
      </c>
      <c r="B606" s="5" t="s">
        <v>4566</v>
      </c>
      <c r="C606" s="6" t="s">
        <v>1817</v>
      </c>
      <c r="D606" t="s">
        <v>2406</v>
      </c>
      <c r="E606" s="5">
        <v>3</v>
      </c>
      <c r="F606" s="5">
        <v>32.619999999999997</v>
      </c>
      <c r="G606" s="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4299</v>
      </c>
      <c r="M606" t="s">
        <v>4281</v>
      </c>
      <c r="N606" s="5">
        <v>97.86</v>
      </c>
    </row>
    <row r="607" spans="1:14" x14ac:dyDescent="0.2">
      <c r="A607" t="s">
        <v>619</v>
      </c>
      <c r="B607" s="4">
        <v>45570</v>
      </c>
      <c r="C607" s="6" t="s">
        <v>1818</v>
      </c>
      <c r="D607" t="s">
        <v>2403</v>
      </c>
      <c r="E607" s="5">
        <v>2</v>
      </c>
      <c r="F607" s="5">
        <v>228.91</v>
      </c>
      <c r="G607" s="6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5">
        <v>457.82</v>
      </c>
    </row>
    <row r="608" spans="1:14" x14ac:dyDescent="0.2">
      <c r="A608" t="s">
        <v>620</v>
      </c>
      <c r="B608" s="4">
        <v>45454</v>
      </c>
      <c r="C608" s="6" t="s">
        <v>1819</v>
      </c>
      <c r="D608" t="s">
        <v>2408</v>
      </c>
      <c r="E608" s="5">
        <v>3</v>
      </c>
      <c r="F608" s="5">
        <v>274.75</v>
      </c>
      <c r="G608" s="6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5">
        <v>824.25</v>
      </c>
    </row>
    <row r="609" spans="1:14" x14ac:dyDescent="0.2">
      <c r="A609" t="s">
        <v>621</v>
      </c>
      <c r="B609" s="5" t="s">
        <v>4379</v>
      </c>
      <c r="C609" s="6" t="s">
        <v>1820</v>
      </c>
      <c r="D609" t="s">
        <v>2407</v>
      </c>
      <c r="E609" s="5">
        <v>4</v>
      </c>
      <c r="F609" s="5">
        <v>634.04999999999995</v>
      </c>
      <c r="G609" s="6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7">
        <v>2536.1999999999998</v>
      </c>
    </row>
    <row r="610" spans="1:14" x14ac:dyDescent="0.2">
      <c r="A610" t="s">
        <v>622</v>
      </c>
      <c r="B610" s="5" t="s">
        <v>4313</v>
      </c>
      <c r="C610" s="6" t="s">
        <v>1821</v>
      </c>
      <c r="D610" t="s">
        <v>2408</v>
      </c>
      <c r="E610" s="5">
        <v>5</v>
      </c>
      <c r="F610" s="5">
        <v>543.16</v>
      </c>
      <c r="G610" s="6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7">
        <v>2715.8</v>
      </c>
    </row>
    <row r="611" spans="1:14" x14ac:dyDescent="0.2">
      <c r="A611" t="s">
        <v>623</v>
      </c>
      <c r="B611" s="5" t="s">
        <v>4365</v>
      </c>
      <c r="C611" s="6" t="s">
        <v>1822</v>
      </c>
      <c r="D611" t="s">
        <v>2406</v>
      </c>
      <c r="E611" s="5">
        <v>3</v>
      </c>
      <c r="F611" s="5">
        <v>449.13</v>
      </c>
      <c r="G611" s="6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7">
        <v>1347.39</v>
      </c>
    </row>
    <row r="612" spans="1:14" x14ac:dyDescent="0.2">
      <c r="A612" t="s">
        <v>624</v>
      </c>
      <c r="B612" s="5" t="s">
        <v>4567</v>
      </c>
      <c r="C612" s="6" t="s">
        <v>1823</v>
      </c>
      <c r="D612" t="s">
        <v>2409</v>
      </c>
      <c r="E612" s="5">
        <v>5</v>
      </c>
      <c r="F612" s="5">
        <v>389.62</v>
      </c>
      <c r="G612" s="6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7">
        <v>1948.1</v>
      </c>
    </row>
    <row r="613" spans="1:14" x14ac:dyDescent="0.2">
      <c r="A613" t="s">
        <v>625</v>
      </c>
      <c r="B613" s="5" t="s">
        <v>4568</v>
      </c>
      <c r="C613" s="6" t="s">
        <v>1824</v>
      </c>
      <c r="D613" t="s">
        <v>2409</v>
      </c>
      <c r="E613" s="5">
        <v>1</v>
      </c>
      <c r="F613" s="5">
        <v>305.17</v>
      </c>
      <c r="G613" s="6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5">
        <v>305.17</v>
      </c>
    </row>
    <row r="614" spans="1:14" x14ac:dyDescent="0.2">
      <c r="A614" t="s">
        <v>626</v>
      </c>
      <c r="B614" s="4">
        <v>44963</v>
      </c>
      <c r="C614" s="6" t="s">
        <v>1825</v>
      </c>
      <c r="D614" t="s">
        <v>2406</v>
      </c>
      <c r="E614" s="5">
        <v>3</v>
      </c>
      <c r="F614" s="5">
        <v>445.12</v>
      </c>
      <c r="G614" s="6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4299</v>
      </c>
      <c r="M614" t="s">
        <v>4282</v>
      </c>
      <c r="N614" s="7">
        <v>1335.36</v>
      </c>
    </row>
    <row r="615" spans="1:14" x14ac:dyDescent="0.2">
      <c r="A615" t="s">
        <v>627</v>
      </c>
      <c r="B615" s="5" t="s">
        <v>4319</v>
      </c>
      <c r="C615" s="6" t="s">
        <v>1826</v>
      </c>
      <c r="D615" t="s">
        <v>2408</v>
      </c>
      <c r="E615" s="5">
        <v>2</v>
      </c>
      <c r="F615" s="5">
        <v>230.36</v>
      </c>
      <c r="G615" s="6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5">
        <v>460.72</v>
      </c>
    </row>
    <row r="616" spans="1:14" x14ac:dyDescent="0.2">
      <c r="A616" t="s">
        <v>628</v>
      </c>
      <c r="B616" s="4">
        <v>45507</v>
      </c>
      <c r="C616" s="6" t="s">
        <v>1827</v>
      </c>
      <c r="D616" t="s">
        <v>2404</v>
      </c>
      <c r="E616" s="5">
        <v>1</v>
      </c>
      <c r="F616" s="5">
        <v>96.81</v>
      </c>
      <c r="G616" s="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4299</v>
      </c>
      <c r="M616" t="s">
        <v>4279</v>
      </c>
      <c r="N616" s="5">
        <v>96.81</v>
      </c>
    </row>
    <row r="617" spans="1:14" x14ac:dyDescent="0.2">
      <c r="A617" t="s">
        <v>629</v>
      </c>
      <c r="B617" s="4">
        <v>45841</v>
      </c>
      <c r="C617" s="6" t="s">
        <v>1828</v>
      </c>
      <c r="D617" t="s">
        <v>2403</v>
      </c>
      <c r="E617" s="5">
        <v>5</v>
      </c>
      <c r="F617" s="5">
        <v>460.14</v>
      </c>
      <c r="G617" s="6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7">
        <v>2300.6999999999998</v>
      </c>
    </row>
    <row r="618" spans="1:14" x14ac:dyDescent="0.2">
      <c r="A618" t="s">
        <v>630</v>
      </c>
      <c r="B618" s="5" t="s">
        <v>4569</v>
      </c>
      <c r="C618" s="6" t="s">
        <v>1829</v>
      </c>
      <c r="D618" t="s">
        <v>2405</v>
      </c>
      <c r="E618" s="5">
        <v>3</v>
      </c>
      <c r="F618" s="5">
        <v>601.6</v>
      </c>
      <c r="G618" s="6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7">
        <v>1804.8</v>
      </c>
    </row>
    <row r="619" spans="1:14" x14ac:dyDescent="0.2">
      <c r="A619" t="s">
        <v>631</v>
      </c>
      <c r="B619" s="4">
        <v>45506</v>
      </c>
      <c r="C619" s="6" t="s">
        <v>1830</v>
      </c>
      <c r="D619" t="s">
        <v>2405</v>
      </c>
      <c r="E619" s="5">
        <v>3</v>
      </c>
      <c r="F619" s="5">
        <v>184.47</v>
      </c>
      <c r="G619" s="6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4299</v>
      </c>
      <c r="M619" t="s">
        <v>4279</v>
      </c>
      <c r="N619" s="5">
        <v>553.41</v>
      </c>
    </row>
    <row r="620" spans="1:14" x14ac:dyDescent="0.2">
      <c r="A620" t="s">
        <v>632</v>
      </c>
      <c r="B620" s="4">
        <v>45360</v>
      </c>
      <c r="C620" s="6" t="s">
        <v>1831</v>
      </c>
      <c r="D620" t="s">
        <v>2405</v>
      </c>
      <c r="E620" s="5">
        <v>1</v>
      </c>
      <c r="F620" s="5">
        <v>411.34</v>
      </c>
      <c r="G620" s="6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4299</v>
      </c>
      <c r="M620" t="s">
        <v>4278</v>
      </c>
      <c r="N620" s="5">
        <v>411.34</v>
      </c>
    </row>
    <row r="621" spans="1:14" x14ac:dyDescent="0.2">
      <c r="A621" t="s">
        <v>633</v>
      </c>
      <c r="B621" s="5" t="s">
        <v>4553</v>
      </c>
      <c r="C621" s="6" t="s">
        <v>1832</v>
      </c>
      <c r="D621" t="s">
        <v>2408</v>
      </c>
      <c r="E621" s="5">
        <v>1</v>
      </c>
      <c r="F621" s="5">
        <v>532.89</v>
      </c>
      <c r="G621" s="6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4299</v>
      </c>
      <c r="M621" t="s">
        <v>4279</v>
      </c>
      <c r="N621" s="5">
        <v>532.89</v>
      </c>
    </row>
    <row r="622" spans="1:14" x14ac:dyDescent="0.2">
      <c r="A622" t="s">
        <v>634</v>
      </c>
      <c r="B622" s="5" t="s">
        <v>4570</v>
      </c>
      <c r="C622" s="6" t="s">
        <v>1833</v>
      </c>
      <c r="D622" t="s">
        <v>2405</v>
      </c>
      <c r="E622" s="5">
        <v>3</v>
      </c>
      <c r="F622" s="5">
        <v>136.34</v>
      </c>
      <c r="G622" s="6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5">
        <v>409.02</v>
      </c>
    </row>
    <row r="623" spans="1:14" x14ac:dyDescent="0.2">
      <c r="A623" t="s">
        <v>635</v>
      </c>
      <c r="B623" s="5" t="s">
        <v>4507</v>
      </c>
      <c r="C623" s="6" t="s">
        <v>1834</v>
      </c>
      <c r="D623" t="s">
        <v>2404</v>
      </c>
      <c r="E623" s="5">
        <v>5</v>
      </c>
      <c r="F623" s="5">
        <v>476.01</v>
      </c>
      <c r="G623" s="6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7">
        <v>2380.0500000000002</v>
      </c>
    </row>
    <row r="624" spans="1:14" x14ac:dyDescent="0.2">
      <c r="A624" t="s">
        <v>636</v>
      </c>
      <c r="B624" s="4">
        <v>45333</v>
      </c>
      <c r="C624" s="6" t="s">
        <v>1835</v>
      </c>
      <c r="D624" t="s">
        <v>2409</v>
      </c>
      <c r="E624" s="5">
        <v>5</v>
      </c>
      <c r="F624" s="5">
        <v>236.38</v>
      </c>
      <c r="G624" s="6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4299</v>
      </c>
      <c r="M624" t="s">
        <v>4281</v>
      </c>
      <c r="N624" s="7">
        <v>1181.9000000000001</v>
      </c>
    </row>
    <row r="625" spans="1:14" x14ac:dyDescent="0.2">
      <c r="A625" t="s">
        <v>637</v>
      </c>
      <c r="B625" s="5" t="s">
        <v>4524</v>
      </c>
      <c r="C625" s="6" t="s">
        <v>1836</v>
      </c>
      <c r="D625" t="s">
        <v>2407</v>
      </c>
      <c r="E625" s="5">
        <v>3</v>
      </c>
      <c r="F625" s="5">
        <v>396</v>
      </c>
      <c r="G625" s="6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7">
        <v>1188</v>
      </c>
    </row>
    <row r="626" spans="1:14" x14ac:dyDescent="0.2">
      <c r="A626" t="s">
        <v>638</v>
      </c>
      <c r="B626" s="5" t="s">
        <v>4571</v>
      </c>
      <c r="C626" s="6" t="s">
        <v>1837</v>
      </c>
      <c r="D626" t="s">
        <v>2405</v>
      </c>
      <c r="E626" s="5">
        <v>5</v>
      </c>
      <c r="F626" s="5">
        <v>341.96</v>
      </c>
      <c r="G626" s="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4299</v>
      </c>
      <c r="M626" t="s">
        <v>4280</v>
      </c>
      <c r="N626" s="7">
        <v>1709.8</v>
      </c>
    </row>
    <row r="627" spans="1:14" x14ac:dyDescent="0.2">
      <c r="A627" t="s">
        <v>639</v>
      </c>
      <c r="B627" s="5" t="s">
        <v>4572</v>
      </c>
      <c r="C627" s="6" t="s">
        <v>1838</v>
      </c>
      <c r="D627" t="s">
        <v>2405</v>
      </c>
      <c r="E627" s="5">
        <v>1</v>
      </c>
      <c r="F627" s="5">
        <v>672.89</v>
      </c>
      <c r="G627" s="6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5">
        <v>672.89</v>
      </c>
    </row>
    <row r="628" spans="1:14" x14ac:dyDescent="0.2">
      <c r="A628" t="s">
        <v>640</v>
      </c>
      <c r="B628" s="4">
        <v>45294</v>
      </c>
      <c r="C628" s="6" t="s">
        <v>1839</v>
      </c>
      <c r="D628" t="s">
        <v>2405</v>
      </c>
      <c r="E628" s="5">
        <v>2</v>
      </c>
      <c r="F628" s="5">
        <v>657.48</v>
      </c>
      <c r="G628" s="6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7">
        <v>1314.96</v>
      </c>
    </row>
    <row r="629" spans="1:14" x14ac:dyDescent="0.2">
      <c r="A629" t="s">
        <v>641</v>
      </c>
      <c r="B629" s="4">
        <v>45085</v>
      </c>
      <c r="C629" s="6" t="s">
        <v>1840</v>
      </c>
      <c r="D629" t="s">
        <v>2406</v>
      </c>
      <c r="E629" s="5">
        <v>3</v>
      </c>
      <c r="F629" s="5">
        <v>498.68</v>
      </c>
      <c r="G629" s="6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7">
        <v>1496.04</v>
      </c>
    </row>
    <row r="630" spans="1:14" x14ac:dyDescent="0.2">
      <c r="A630" t="s">
        <v>642</v>
      </c>
      <c r="B630" s="5" t="s">
        <v>4573</v>
      </c>
      <c r="C630" s="6" t="s">
        <v>1841</v>
      </c>
      <c r="D630" t="s">
        <v>2407</v>
      </c>
      <c r="E630" s="5">
        <v>5</v>
      </c>
      <c r="F630" s="5">
        <v>558.63</v>
      </c>
      <c r="G630" s="6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7">
        <v>2793.15</v>
      </c>
    </row>
    <row r="631" spans="1:14" x14ac:dyDescent="0.2">
      <c r="A631" t="s">
        <v>643</v>
      </c>
      <c r="B631" s="4">
        <v>45114</v>
      </c>
      <c r="C631" s="6" t="s">
        <v>1842</v>
      </c>
      <c r="D631" t="s">
        <v>2404</v>
      </c>
      <c r="E631" s="5">
        <v>3</v>
      </c>
      <c r="F631" s="5">
        <v>19.73</v>
      </c>
      <c r="G631" s="6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4299</v>
      </c>
      <c r="M631" t="s">
        <v>4279</v>
      </c>
      <c r="N631" s="5">
        <v>59.19</v>
      </c>
    </row>
    <row r="632" spans="1:14" x14ac:dyDescent="0.2">
      <c r="A632" t="s">
        <v>644</v>
      </c>
      <c r="B632" s="5" t="s">
        <v>4574</v>
      </c>
      <c r="C632" s="6" t="s">
        <v>1843</v>
      </c>
      <c r="D632" t="s">
        <v>2403</v>
      </c>
      <c r="E632" s="5">
        <v>5</v>
      </c>
      <c r="F632" s="5">
        <v>248.84</v>
      </c>
      <c r="G632" s="6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4299</v>
      </c>
      <c r="M632" t="s">
        <v>4278</v>
      </c>
      <c r="N632" s="7">
        <v>1244.2</v>
      </c>
    </row>
    <row r="633" spans="1:14" x14ac:dyDescent="0.2">
      <c r="A633" t="s">
        <v>645</v>
      </c>
      <c r="B633" s="5" t="s">
        <v>4402</v>
      </c>
      <c r="C633" s="6" t="s">
        <v>1844</v>
      </c>
      <c r="D633" t="s">
        <v>2406</v>
      </c>
      <c r="E633" s="5">
        <v>3</v>
      </c>
      <c r="F633" s="5">
        <v>46.11</v>
      </c>
      <c r="G633" s="6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5">
        <v>138.33000000000001</v>
      </c>
    </row>
    <row r="634" spans="1:14" x14ac:dyDescent="0.2">
      <c r="A634" t="s">
        <v>646</v>
      </c>
      <c r="B634" s="4">
        <v>44962</v>
      </c>
      <c r="C634" s="6" t="s">
        <v>1845</v>
      </c>
      <c r="D634" t="s">
        <v>2408</v>
      </c>
      <c r="E634" s="5">
        <v>5</v>
      </c>
      <c r="F634" s="5">
        <v>678.16</v>
      </c>
      <c r="G634" s="6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7">
        <v>3390.8</v>
      </c>
    </row>
    <row r="635" spans="1:14" x14ac:dyDescent="0.2">
      <c r="A635" t="s">
        <v>647</v>
      </c>
      <c r="B635" s="4">
        <v>45569</v>
      </c>
      <c r="C635" s="6" t="s">
        <v>1846</v>
      </c>
      <c r="D635" t="s">
        <v>2408</v>
      </c>
      <c r="E635" s="5">
        <v>5</v>
      </c>
      <c r="F635" s="5">
        <v>601.72</v>
      </c>
      <c r="G635" s="6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7">
        <v>3008.6</v>
      </c>
    </row>
    <row r="636" spans="1:14" x14ac:dyDescent="0.2">
      <c r="A636" t="s">
        <v>648</v>
      </c>
      <c r="B636" s="5" t="s">
        <v>4482</v>
      </c>
      <c r="C636" s="6" t="s">
        <v>1847</v>
      </c>
      <c r="D636" t="s">
        <v>2407</v>
      </c>
      <c r="E636" s="5">
        <v>2</v>
      </c>
      <c r="F636" s="5">
        <v>259.32</v>
      </c>
      <c r="G636" s="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5">
        <v>518.64</v>
      </c>
    </row>
    <row r="637" spans="1:14" x14ac:dyDescent="0.2">
      <c r="A637" t="s">
        <v>649</v>
      </c>
      <c r="B637" s="5" t="s">
        <v>4385</v>
      </c>
      <c r="C637" s="6" t="s">
        <v>1848</v>
      </c>
      <c r="D637" t="s">
        <v>2406</v>
      </c>
      <c r="E637" s="5">
        <v>3</v>
      </c>
      <c r="F637" s="5">
        <v>63.68</v>
      </c>
      <c r="G637" s="6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4299</v>
      </c>
      <c r="M637" t="s">
        <v>4281</v>
      </c>
      <c r="N637" s="5">
        <v>191.04</v>
      </c>
    </row>
    <row r="638" spans="1:14" x14ac:dyDescent="0.2">
      <c r="A638" t="s">
        <v>650</v>
      </c>
      <c r="B638" s="4">
        <v>45056</v>
      </c>
      <c r="C638" s="6" t="s">
        <v>1849</v>
      </c>
      <c r="D638" t="s">
        <v>2408</v>
      </c>
      <c r="E638" s="5">
        <v>4</v>
      </c>
      <c r="F638" s="5">
        <v>371.07</v>
      </c>
      <c r="G638" s="6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7">
        <v>1484.28</v>
      </c>
    </row>
    <row r="639" spans="1:14" x14ac:dyDescent="0.2">
      <c r="A639" t="s">
        <v>651</v>
      </c>
      <c r="B639" s="5" t="s">
        <v>4575</v>
      </c>
      <c r="C639" s="6" t="s">
        <v>1850</v>
      </c>
      <c r="D639" t="s">
        <v>2406</v>
      </c>
      <c r="E639" s="5">
        <v>4</v>
      </c>
      <c r="F639" s="5">
        <v>306.35000000000002</v>
      </c>
      <c r="G639" s="6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7">
        <v>1225.4000000000001</v>
      </c>
    </row>
    <row r="640" spans="1:14" x14ac:dyDescent="0.2">
      <c r="A640" t="s">
        <v>652</v>
      </c>
      <c r="B640" s="5" t="s">
        <v>4296</v>
      </c>
      <c r="C640" s="6" t="s">
        <v>1851</v>
      </c>
      <c r="D640" t="s">
        <v>2405</v>
      </c>
      <c r="E640" s="5">
        <v>4</v>
      </c>
      <c r="F640" s="5">
        <v>578.27</v>
      </c>
      <c r="G640" s="6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7">
        <v>2313.08</v>
      </c>
    </row>
    <row r="641" spans="1:14" x14ac:dyDescent="0.2">
      <c r="A641" t="s">
        <v>653</v>
      </c>
      <c r="B641" s="5" t="s">
        <v>4490</v>
      </c>
      <c r="C641" s="6" t="s">
        <v>1852</v>
      </c>
      <c r="D641" t="s">
        <v>2406</v>
      </c>
      <c r="E641" s="5">
        <v>1</v>
      </c>
      <c r="F641" s="5">
        <v>529.19000000000005</v>
      </c>
      <c r="G641" s="6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4299</v>
      </c>
      <c r="M641" t="s">
        <v>4279</v>
      </c>
      <c r="N641" s="5">
        <v>529.19000000000005</v>
      </c>
    </row>
    <row r="642" spans="1:14" x14ac:dyDescent="0.2">
      <c r="A642" t="s">
        <v>654</v>
      </c>
      <c r="B642" s="5" t="s">
        <v>4295</v>
      </c>
      <c r="C642" s="6" t="s">
        <v>1853</v>
      </c>
      <c r="D642" t="s">
        <v>2406</v>
      </c>
      <c r="E642" s="5">
        <v>2</v>
      </c>
      <c r="F642" s="5">
        <v>587.49</v>
      </c>
      <c r="G642" s="6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7">
        <v>1174.98</v>
      </c>
    </row>
    <row r="643" spans="1:14" x14ac:dyDescent="0.2">
      <c r="A643" t="s">
        <v>655</v>
      </c>
      <c r="B643" s="5" t="s">
        <v>4576</v>
      </c>
      <c r="C643" s="6" t="s">
        <v>1854</v>
      </c>
      <c r="D643" t="s">
        <v>2407</v>
      </c>
      <c r="E643" s="5">
        <v>4</v>
      </c>
      <c r="F643" s="5">
        <v>567.57000000000005</v>
      </c>
      <c r="G643" s="6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7">
        <v>2270.2800000000002</v>
      </c>
    </row>
    <row r="644" spans="1:14" x14ac:dyDescent="0.2">
      <c r="A644" t="s">
        <v>656</v>
      </c>
      <c r="B644" s="5" t="s">
        <v>4577</v>
      </c>
      <c r="C644" s="6" t="s">
        <v>1855</v>
      </c>
      <c r="D644" t="s">
        <v>2406</v>
      </c>
      <c r="E644" s="5">
        <v>5</v>
      </c>
      <c r="F644" s="5">
        <v>85.22</v>
      </c>
      <c r="G644" s="6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5">
        <v>426.1</v>
      </c>
    </row>
    <row r="645" spans="1:14" x14ac:dyDescent="0.2">
      <c r="A645" t="s">
        <v>657</v>
      </c>
      <c r="B645" s="5" t="s">
        <v>4510</v>
      </c>
      <c r="C645" s="6" t="s">
        <v>1856</v>
      </c>
      <c r="D645" t="s">
        <v>2408</v>
      </c>
      <c r="E645" s="5">
        <v>1</v>
      </c>
      <c r="F645" s="5">
        <v>438.37</v>
      </c>
      <c r="G645" s="6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5">
        <v>438.37</v>
      </c>
    </row>
    <row r="646" spans="1:14" x14ac:dyDescent="0.2">
      <c r="A646" t="s">
        <v>658</v>
      </c>
      <c r="B646" s="5" t="s">
        <v>4522</v>
      </c>
      <c r="C646" s="6" t="s">
        <v>1857</v>
      </c>
      <c r="D646" t="s">
        <v>2406</v>
      </c>
      <c r="E646" s="5">
        <v>2</v>
      </c>
      <c r="F646" s="5">
        <v>366.23</v>
      </c>
      <c r="G646" s="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5">
        <v>732.46</v>
      </c>
    </row>
    <row r="647" spans="1:14" x14ac:dyDescent="0.2">
      <c r="A647" t="s">
        <v>659</v>
      </c>
      <c r="B647" s="4">
        <v>44958</v>
      </c>
      <c r="C647" s="6" t="s">
        <v>1858</v>
      </c>
      <c r="D647" t="s">
        <v>2408</v>
      </c>
      <c r="E647" s="5">
        <v>2</v>
      </c>
      <c r="F647" s="5">
        <v>150.05000000000001</v>
      </c>
      <c r="G647" s="6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5">
        <v>300.10000000000002</v>
      </c>
    </row>
    <row r="648" spans="1:14" x14ac:dyDescent="0.2">
      <c r="A648" t="s">
        <v>660</v>
      </c>
      <c r="B648" s="5" t="s">
        <v>4371</v>
      </c>
      <c r="C648" s="6" t="s">
        <v>1859</v>
      </c>
      <c r="D648" t="s">
        <v>2406</v>
      </c>
      <c r="E648" s="5">
        <v>4</v>
      </c>
      <c r="F648" s="5">
        <v>498.51</v>
      </c>
      <c r="G648" s="6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7">
        <v>1994.04</v>
      </c>
    </row>
    <row r="649" spans="1:14" x14ac:dyDescent="0.2">
      <c r="A649" t="s">
        <v>661</v>
      </c>
      <c r="B649" s="5" t="s">
        <v>4578</v>
      </c>
      <c r="C649" s="6" t="s">
        <v>1860</v>
      </c>
      <c r="D649" t="s">
        <v>2409</v>
      </c>
      <c r="E649" s="5">
        <v>3</v>
      </c>
      <c r="F649" s="5">
        <v>339.39</v>
      </c>
      <c r="G649" s="6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7">
        <v>1018.17</v>
      </c>
    </row>
    <row r="650" spans="1:14" x14ac:dyDescent="0.2">
      <c r="A650" t="s">
        <v>662</v>
      </c>
      <c r="B650" s="5" t="s">
        <v>4579</v>
      </c>
      <c r="C650" s="6" t="s">
        <v>1861</v>
      </c>
      <c r="D650" t="s">
        <v>2403</v>
      </c>
      <c r="E650" s="5">
        <v>2</v>
      </c>
      <c r="F650" s="5">
        <v>575.83000000000004</v>
      </c>
      <c r="G650" s="6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7">
        <v>1151.6600000000001</v>
      </c>
    </row>
    <row r="651" spans="1:14" x14ac:dyDescent="0.2">
      <c r="A651" t="s">
        <v>663</v>
      </c>
      <c r="B651" s="5" t="s">
        <v>4580</v>
      </c>
      <c r="C651" s="6" t="s">
        <v>1862</v>
      </c>
      <c r="D651" t="s">
        <v>2403</v>
      </c>
      <c r="E651" s="5">
        <v>2</v>
      </c>
      <c r="F651" s="5">
        <v>642.98</v>
      </c>
      <c r="G651" s="6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7">
        <v>1285.96</v>
      </c>
    </row>
    <row r="652" spans="1:14" x14ac:dyDescent="0.2">
      <c r="A652" t="s">
        <v>664</v>
      </c>
      <c r="B652" s="5" t="s">
        <v>4548</v>
      </c>
      <c r="C652" s="6" t="s">
        <v>1863</v>
      </c>
      <c r="D652" t="s">
        <v>2409</v>
      </c>
      <c r="E652" s="5">
        <v>2</v>
      </c>
      <c r="F652" s="5">
        <v>372.23</v>
      </c>
      <c r="G652" s="6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5">
        <v>744.46</v>
      </c>
    </row>
    <row r="653" spans="1:14" x14ac:dyDescent="0.2">
      <c r="A653" t="s">
        <v>665</v>
      </c>
      <c r="B653" s="4">
        <v>45637</v>
      </c>
      <c r="C653" s="6" t="s">
        <v>1864</v>
      </c>
      <c r="D653" t="s">
        <v>2406</v>
      </c>
      <c r="E653" s="5">
        <v>3</v>
      </c>
      <c r="F653" s="5">
        <v>646.34</v>
      </c>
      <c r="G653" s="6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4299</v>
      </c>
      <c r="M653" t="s">
        <v>4282</v>
      </c>
      <c r="N653" s="7">
        <v>1939.02</v>
      </c>
    </row>
    <row r="654" spans="1:14" x14ac:dyDescent="0.2">
      <c r="A654" t="s">
        <v>666</v>
      </c>
      <c r="B654" s="4">
        <v>45418</v>
      </c>
      <c r="C654" s="6" t="s">
        <v>1865</v>
      </c>
      <c r="D654" t="s">
        <v>2406</v>
      </c>
      <c r="E654" s="5">
        <v>5</v>
      </c>
      <c r="F654" s="5">
        <v>341.84</v>
      </c>
      <c r="G654" s="6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7">
        <v>1709.2</v>
      </c>
    </row>
    <row r="655" spans="1:14" x14ac:dyDescent="0.2">
      <c r="A655" t="s">
        <v>667</v>
      </c>
      <c r="B655" s="5" t="s">
        <v>4538</v>
      </c>
      <c r="C655" s="6" t="s">
        <v>1866</v>
      </c>
      <c r="D655" t="s">
        <v>2407</v>
      </c>
      <c r="E655" s="5">
        <v>3</v>
      </c>
      <c r="F655" s="5">
        <v>690.3</v>
      </c>
      <c r="G655" s="6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7">
        <v>2070.9</v>
      </c>
    </row>
    <row r="656" spans="1:14" x14ac:dyDescent="0.2">
      <c r="A656" t="s">
        <v>668</v>
      </c>
      <c r="B656" s="4">
        <v>45266</v>
      </c>
      <c r="C656" s="6" t="s">
        <v>1867</v>
      </c>
      <c r="D656" t="s">
        <v>2405</v>
      </c>
      <c r="E656" s="5">
        <v>3</v>
      </c>
      <c r="F656" s="5">
        <v>382.37</v>
      </c>
      <c r="G656" s="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4299</v>
      </c>
      <c r="M656" t="s">
        <v>4278</v>
      </c>
      <c r="N656" s="7">
        <v>1147.1099999999999</v>
      </c>
    </row>
    <row r="657" spans="1:14" x14ac:dyDescent="0.2">
      <c r="A657" t="s">
        <v>669</v>
      </c>
      <c r="B657" s="5" t="s">
        <v>4517</v>
      </c>
      <c r="C657" s="6" t="s">
        <v>1868</v>
      </c>
      <c r="D657" t="s">
        <v>2406</v>
      </c>
      <c r="E657" s="5">
        <v>2</v>
      </c>
      <c r="F657" s="5">
        <v>132.6</v>
      </c>
      <c r="G657" s="6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5">
        <v>265.2</v>
      </c>
    </row>
    <row r="658" spans="1:14" x14ac:dyDescent="0.2">
      <c r="A658" t="s">
        <v>670</v>
      </c>
      <c r="B658" s="5" t="s">
        <v>4501</v>
      </c>
      <c r="C658" s="6" t="s">
        <v>1869</v>
      </c>
      <c r="D658" t="s">
        <v>2403</v>
      </c>
      <c r="E658" s="5">
        <v>2</v>
      </c>
      <c r="F658" s="5">
        <v>189.06</v>
      </c>
      <c r="G658" s="6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5">
        <v>378.12</v>
      </c>
    </row>
    <row r="659" spans="1:14" x14ac:dyDescent="0.2">
      <c r="A659" t="s">
        <v>671</v>
      </c>
      <c r="B659" s="5" t="s">
        <v>4581</v>
      </c>
      <c r="C659" s="6" t="s">
        <v>1870</v>
      </c>
      <c r="D659" t="s">
        <v>2405</v>
      </c>
      <c r="E659" s="5">
        <v>4</v>
      </c>
      <c r="F659" s="5">
        <v>87.79</v>
      </c>
      <c r="G659" s="6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5">
        <v>351.16</v>
      </c>
    </row>
    <row r="660" spans="1:14" x14ac:dyDescent="0.2">
      <c r="A660" t="s">
        <v>672</v>
      </c>
      <c r="B660" s="5" t="s">
        <v>4582</v>
      </c>
      <c r="C660" s="6" t="s">
        <v>1871</v>
      </c>
      <c r="D660" t="s">
        <v>2407</v>
      </c>
      <c r="E660" s="5">
        <v>2</v>
      </c>
      <c r="F660" s="5">
        <v>46.36</v>
      </c>
      <c r="G660" s="6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5">
        <v>92.72</v>
      </c>
    </row>
    <row r="661" spans="1:14" x14ac:dyDescent="0.2">
      <c r="A661" t="s">
        <v>673</v>
      </c>
      <c r="B661" s="5" t="s">
        <v>4583</v>
      </c>
      <c r="C661" s="6" t="s">
        <v>1872</v>
      </c>
      <c r="D661" t="s">
        <v>2404</v>
      </c>
      <c r="E661" s="5">
        <v>2</v>
      </c>
      <c r="F661" s="5">
        <v>642.04</v>
      </c>
      <c r="G661" s="6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7">
        <v>1284.08</v>
      </c>
    </row>
    <row r="662" spans="1:14" x14ac:dyDescent="0.2">
      <c r="A662" t="s">
        <v>674</v>
      </c>
      <c r="B662" s="5" t="s">
        <v>4584</v>
      </c>
      <c r="C662" s="6" t="s">
        <v>1873</v>
      </c>
      <c r="D662" t="s">
        <v>2406</v>
      </c>
      <c r="E662" s="5">
        <v>2</v>
      </c>
      <c r="F662" s="5">
        <v>651.57000000000005</v>
      </c>
      <c r="G662" s="6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7">
        <v>1303.1400000000001</v>
      </c>
    </row>
    <row r="663" spans="1:14" x14ac:dyDescent="0.2">
      <c r="A663" t="s">
        <v>675</v>
      </c>
      <c r="B663" s="5" t="s">
        <v>4453</v>
      </c>
      <c r="C663" s="6" t="s">
        <v>1874</v>
      </c>
      <c r="D663" t="s">
        <v>2405</v>
      </c>
      <c r="E663" s="5">
        <v>3</v>
      </c>
      <c r="F663" s="5">
        <v>424.89</v>
      </c>
      <c r="G663" s="6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7">
        <v>1274.67</v>
      </c>
    </row>
    <row r="664" spans="1:14" x14ac:dyDescent="0.2">
      <c r="A664" t="s">
        <v>676</v>
      </c>
      <c r="B664" s="5" t="s">
        <v>4552</v>
      </c>
      <c r="C664" s="6" t="s">
        <v>1875</v>
      </c>
      <c r="D664" t="s">
        <v>2408</v>
      </c>
      <c r="E664" s="5">
        <v>3</v>
      </c>
      <c r="F664" s="5">
        <v>438.89</v>
      </c>
      <c r="G664" s="6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4299</v>
      </c>
      <c r="M664" t="s">
        <v>4281</v>
      </c>
      <c r="N664" s="7">
        <v>1316.67</v>
      </c>
    </row>
    <row r="665" spans="1:14" x14ac:dyDescent="0.2">
      <c r="A665" t="s">
        <v>677</v>
      </c>
      <c r="B665" s="5" t="s">
        <v>4369</v>
      </c>
      <c r="C665" s="6" t="s">
        <v>1876</v>
      </c>
      <c r="D665" t="s">
        <v>2403</v>
      </c>
      <c r="E665" s="5">
        <v>1</v>
      </c>
      <c r="F665" s="5">
        <v>72.599999999999994</v>
      </c>
      <c r="G665" s="6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5">
        <v>72.599999999999994</v>
      </c>
    </row>
    <row r="666" spans="1:14" x14ac:dyDescent="0.2">
      <c r="A666" t="s">
        <v>678</v>
      </c>
      <c r="B666" s="5" t="s">
        <v>4319</v>
      </c>
      <c r="C666" s="6" t="s">
        <v>1450</v>
      </c>
      <c r="D666" t="s">
        <v>2408</v>
      </c>
      <c r="E666" s="5">
        <v>4</v>
      </c>
      <c r="F666" s="5">
        <v>194.75</v>
      </c>
      <c r="G666" s="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4299</v>
      </c>
      <c r="M666" t="s">
        <v>4281</v>
      </c>
      <c r="N666" s="5">
        <v>779</v>
      </c>
    </row>
    <row r="667" spans="1:14" x14ac:dyDescent="0.2">
      <c r="A667" t="s">
        <v>679</v>
      </c>
      <c r="B667" s="4">
        <v>44962</v>
      </c>
      <c r="C667" s="6" t="s">
        <v>1877</v>
      </c>
      <c r="D667" t="s">
        <v>2405</v>
      </c>
      <c r="E667" s="5">
        <v>4</v>
      </c>
      <c r="F667" s="5">
        <v>231.26</v>
      </c>
      <c r="G667" s="6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5">
        <v>925.04</v>
      </c>
    </row>
    <row r="668" spans="1:14" x14ac:dyDescent="0.2">
      <c r="A668" t="s">
        <v>680</v>
      </c>
      <c r="B668" s="5" t="s">
        <v>4402</v>
      </c>
      <c r="C668" s="6" t="s">
        <v>1878</v>
      </c>
      <c r="D668" t="s">
        <v>2403</v>
      </c>
      <c r="E668" s="5">
        <v>4</v>
      </c>
      <c r="F668" s="5">
        <v>327.12</v>
      </c>
      <c r="G668" s="6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4299</v>
      </c>
      <c r="M668" t="s">
        <v>4280</v>
      </c>
      <c r="N668" s="7">
        <v>1308.48</v>
      </c>
    </row>
    <row r="669" spans="1:14" x14ac:dyDescent="0.2">
      <c r="A669" t="s">
        <v>681</v>
      </c>
      <c r="B669" s="4">
        <v>44990</v>
      </c>
      <c r="C669" s="6" t="s">
        <v>1879</v>
      </c>
      <c r="D669" t="s">
        <v>2408</v>
      </c>
      <c r="E669" s="5">
        <v>1</v>
      </c>
      <c r="F669" s="5">
        <v>466.42</v>
      </c>
      <c r="G669" s="6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5">
        <v>466.42</v>
      </c>
    </row>
    <row r="670" spans="1:14" x14ac:dyDescent="0.2">
      <c r="A670" t="s">
        <v>682</v>
      </c>
      <c r="B670" s="4">
        <v>45419</v>
      </c>
      <c r="C670" s="6" t="s">
        <v>1880</v>
      </c>
      <c r="D670" t="s">
        <v>2403</v>
      </c>
      <c r="E670" s="5">
        <v>2</v>
      </c>
      <c r="F670" s="5">
        <v>253.67</v>
      </c>
      <c r="G670" s="6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5">
        <v>507.34</v>
      </c>
    </row>
    <row r="671" spans="1:14" x14ac:dyDescent="0.2">
      <c r="A671" t="s">
        <v>683</v>
      </c>
      <c r="B671" s="4">
        <v>45048</v>
      </c>
      <c r="C671" s="6" t="s">
        <v>1881</v>
      </c>
      <c r="D671" t="s">
        <v>2409</v>
      </c>
      <c r="E671" s="5">
        <v>1</v>
      </c>
      <c r="F671" s="5">
        <v>257</v>
      </c>
      <c r="G671" s="6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4299</v>
      </c>
      <c r="M671" t="s">
        <v>4279</v>
      </c>
      <c r="N671" s="5">
        <v>257</v>
      </c>
    </row>
    <row r="672" spans="1:14" x14ac:dyDescent="0.2">
      <c r="A672" t="s">
        <v>684</v>
      </c>
      <c r="B672" s="5" t="s">
        <v>4404</v>
      </c>
      <c r="C672" s="6" t="s">
        <v>1882</v>
      </c>
      <c r="D672" t="s">
        <v>2409</v>
      </c>
      <c r="E672" s="5">
        <v>4</v>
      </c>
      <c r="F672" s="5">
        <v>539.20000000000005</v>
      </c>
      <c r="G672" s="6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7">
        <v>2156.8000000000002</v>
      </c>
    </row>
    <row r="673" spans="1:14" x14ac:dyDescent="0.2">
      <c r="A673" t="s">
        <v>685</v>
      </c>
      <c r="B673" s="5" t="s">
        <v>4585</v>
      </c>
      <c r="C673" s="6" t="s">
        <v>1883</v>
      </c>
      <c r="D673" t="s">
        <v>2406</v>
      </c>
      <c r="E673" s="5">
        <v>5</v>
      </c>
      <c r="F673" s="5">
        <v>50.74</v>
      </c>
      <c r="G673" s="6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5">
        <v>253.7</v>
      </c>
    </row>
    <row r="674" spans="1:14" x14ac:dyDescent="0.2">
      <c r="A674" t="s">
        <v>686</v>
      </c>
      <c r="B674" s="4">
        <v>45174</v>
      </c>
      <c r="C674" s="6" t="s">
        <v>1884</v>
      </c>
      <c r="D674" t="s">
        <v>2404</v>
      </c>
      <c r="E674" s="5">
        <v>2</v>
      </c>
      <c r="F674" s="5">
        <v>624.16</v>
      </c>
      <c r="G674" s="6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7">
        <v>1248.32</v>
      </c>
    </row>
    <row r="675" spans="1:14" x14ac:dyDescent="0.2">
      <c r="A675" t="s">
        <v>687</v>
      </c>
      <c r="B675" s="5" t="s">
        <v>4586</v>
      </c>
      <c r="C675" s="6" t="s">
        <v>1885</v>
      </c>
      <c r="D675" t="s">
        <v>2405</v>
      </c>
      <c r="E675" s="5">
        <v>2</v>
      </c>
      <c r="F675" s="5">
        <v>372.92</v>
      </c>
      <c r="G675" s="6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5">
        <v>745.84</v>
      </c>
    </row>
    <row r="676" spans="1:14" x14ac:dyDescent="0.2">
      <c r="A676" t="s">
        <v>688</v>
      </c>
      <c r="B676" s="4">
        <v>45536</v>
      </c>
      <c r="C676" s="6" t="s">
        <v>1886</v>
      </c>
      <c r="D676" t="s">
        <v>2408</v>
      </c>
      <c r="E676" s="5">
        <v>4</v>
      </c>
      <c r="F676" s="5">
        <v>358.75</v>
      </c>
      <c r="G676" s="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7">
        <v>1435</v>
      </c>
    </row>
    <row r="677" spans="1:14" x14ac:dyDescent="0.2">
      <c r="A677" t="s">
        <v>689</v>
      </c>
      <c r="B677" s="4">
        <v>45451</v>
      </c>
      <c r="C677" s="6" t="s">
        <v>1887</v>
      </c>
      <c r="D677" t="s">
        <v>2409</v>
      </c>
      <c r="E677" s="5">
        <v>3</v>
      </c>
      <c r="F677" s="5">
        <v>342.02</v>
      </c>
      <c r="G677" s="6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4299</v>
      </c>
      <c r="M677" t="s">
        <v>4280</v>
      </c>
      <c r="N677" s="7">
        <v>1026.06</v>
      </c>
    </row>
    <row r="678" spans="1:14" x14ac:dyDescent="0.2">
      <c r="A678" t="s">
        <v>690</v>
      </c>
      <c r="B678" s="5" t="s">
        <v>4375</v>
      </c>
      <c r="C678" s="6" t="s">
        <v>1888</v>
      </c>
      <c r="D678" t="s">
        <v>2408</v>
      </c>
      <c r="E678" s="5">
        <v>2</v>
      </c>
      <c r="F678" s="5">
        <v>422.34</v>
      </c>
      <c r="G678" s="6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5">
        <v>844.68</v>
      </c>
    </row>
    <row r="679" spans="1:14" x14ac:dyDescent="0.2">
      <c r="A679" t="s">
        <v>691</v>
      </c>
      <c r="B679" s="4">
        <v>45720</v>
      </c>
      <c r="C679" s="6" t="s">
        <v>1889</v>
      </c>
      <c r="D679" t="s">
        <v>2405</v>
      </c>
      <c r="E679" s="5">
        <v>5</v>
      </c>
      <c r="F679" s="5">
        <v>22.07</v>
      </c>
      <c r="G679" s="6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5">
        <v>110.35</v>
      </c>
    </row>
    <row r="680" spans="1:14" x14ac:dyDescent="0.2">
      <c r="A680" t="s">
        <v>692</v>
      </c>
      <c r="B680" s="5" t="s">
        <v>4400</v>
      </c>
      <c r="C680" s="6" t="s">
        <v>1890</v>
      </c>
      <c r="D680" t="s">
        <v>2406</v>
      </c>
      <c r="E680" s="5">
        <v>3</v>
      </c>
      <c r="F680" s="5">
        <v>163.13</v>
      </c>
      <c r="G680" s="6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5">
        <v>489.39</v>
      </c>
    </row>
    <row r="681" spans="1:14" x14ac:dyDescent="0.2">
      <c r="A681" t="s">
        <v>693</v>
      </c>
      <c r="B681" s="4">
        <v>44959</v>
      </c>
      <c r="C681" s="6" t="s">
        <v>1891</v>
      </c>
      <c r="D681" t="s">
        <v>2405</v>
      </c>
      <c r="E681" s="5">
        <v>3</v>
      </c>
      <c r="F681" s="5">
        <v>360.66</v>
      </c>
      <c r="G681" s="6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7">
        <v>1081.98</v>
      </c>
    </row>
    <row r="682" spans="1:14" x14ac:dyDescent="0.2">
      <c r="A682" t="s">
        <v>694</v>
      </c>
      <c r="B682" s="5" t="s">
        <v>4409</v>
      </c>
      <c r="C682" s="6" t="s">
        <v>1892</v>
      </c>
      <c r="D682" t="s">
        <v>2403</v>
      </c>
      <c r="E682" s="5">
        <v>3</v>
      </c>
      <c r="F682" s="5">
        <v>463.39</v>
      </c>
      <c r="G682" s="6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4299</v>
      </c>
      <c r="M682" t="s">
        <v>4281</v>
      </c>
      <c r="N682" s="7">
        <v>1390.17</v>
      </c>
    </row>
    <row r="683" spans="1:14" x14ac:dyDescent="0.2">
      <c r="A683" t="s">
        <v>695</v>
      </c>
      <c r="B683" s="5" t="s">
        <v>4587</v>
      </c>
      <c r="C683" s="6" t="s">
        <v>1893</v>
      </c>
      <c r="D683" t="s">
        <v>2405</v>
      </c>
      <c r="E683" s="5">
        <v>1</v>
      </c>
      <c r="F683" s="5">
        <v>155.27000000000001</v>
      </c>
      <c r="G683" s="6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4299</v>
      </c>
      <c r="M683" t="s">
        <v>4280</v>
      </c>
      <c r="N683" s="5">
        <v>155.27000000000001</v>
      </c>
    </row>
    <row r="684" spans="1:14" x14ac:dyDescent="0.2">
      <c r="A684" t="s">
        <v>696</v>
      </c>
      <c r="B684" s="5" t="s">
        <v>4512</v>
      </c>
      <c r="C684" s="6" t="s">
        <v>1894</v>
      </c>
      <c r="D684" t="s">
        <v>2403</v>
      </c>
      <c r="E684" s="5">
        <v>3</v>
      </c>
      <c r="F684" s="5">
        <v>509.42</v>
      </c>
      <c r="G684" s="6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7">
        <v>1528.26</v>
      </c>
    </row>
    <row r="685" spans="1:14" x14ac:dyDescent="0.2">
      <c r="A685" t="s">
        <v>697</v>
      </c>
      <c r="B685" s="5" t="s">
        <v>4588</v>
      </c>
      <c r="C685" s="6" t="s">
        <v>1895</v>
      </c>
      <c r="D685" t="s">
        <v>2409</v>
      </c>
      <c r="E685" s="5">
        <v>4</v>
      </c>
      <c r="F685" s="5">
        <v>652.48</v>
      </c>
      <c r="G685" s="6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7">
        <v>2609.92</v>
      </c>
    </row>
    <row r="686" spans="1:14" x14ac:dyDescent="0.2">
      <c r="A686" t="s">
        <v>698</v>
      </c>
      <c r="B686" s="5" t="s">
        <v>4589</v>
      </c>
      <c r="C686" s="6" t="s">
        <v>1896</v>
      </c>
      <c r="D686" t="s">
        <v>2407</v>
      </c>
      <c r="E686" s="5">
        <v>4</v>
      </c>
      <c r="F686" s="5">
        <v>34.840000000000003</v>
      </c>
      <c r="G686" s="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4299</v>
      </c>
      <c r="M686" t="s">
        <v>4280</v>
      </c>
      <c r="N686" s="5">
        <v>139.36000000000001</v>
      </c>
    </row>
    <row r="687" spans="1:14" x14ac:dyDescent="0.2">
      <c r="A687" t="s">
        <v>699</v>
      </c>
      <c r="B687" s="4">
        <v>45840</v>
      </c>
      <c r="C687" s="6" t="s">
        <v>1897</v>
      </c>
      <c r="D687" t="s">
        <v>2409</v>
      </c>
      <c r="E687" s="5">
        <v>1</v>
      </c>
      <c r="F687" s="5">
        <v>234.37</v>
      </c>
      <c r="G687" s="6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5">
        <v>234.37</v>
      </c>
    </row>
    <row r="688" spans="1:14" x14ac:dyDescent="0.2">
      <c r="A688" t="s">
        <v>700</v>
      </c>
      <c r="B688" s="4">
        <v>45179</v>
      </c>
      <c r="C688" s="6" t="s">
        <v>1898</v>
      </c>
      <c r="D688" t="s">
        <v>2409</v>
      </c>
      <c r="E688" s="5">
        <v>3</v>
      </c>
      <c r="F688" s="5">
        <v>53.6</v>
      </c>
      <c r="G688" s="6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5">
        <v>160.80000000000001</v>
      </c>
    </row>
    <row r="689" spans="1:14" x14ac:dyDescent="0.2">
      <c r="A689" t="s">
        <v>701</v>
      </c>
      <c r="B689" s="5" t="s">
        <v>4590</v>
      </c>
      <c r="C689" s="6" t="s">
        <v>1899</v>
      </c>
      <c r="D689" t="s">
        <v>2405</v>
      </c>
      <c r="E689" s="5">
        <v>1</v>
      </c>
      <c r="F689" s="5">
        <v>332.09</v>
      </c>
      <c r="G689" s="6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5">
        <v>332.09</v>
      </c>
    </row>
    <row r="690" spans="1:14" x14ac:dyDescent="0.2">
      <c r="A690" t="s">
        <v>702</v>
      </c>
      <c r="B690" s="4">
        <v>45446</v>
      </c>
      <c r="C690" s="6" t="s">
        <v>1900</v>
      </c>
      <c r="D690" t="s">
        <v>2403</v>
      </c>
      <c r="E690" s="5">
        <v>4</v>
      </c>
      <c r="F690" s="5">
        <v>593.22</v>
      </c>
      <c r="G690" s="6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7">
        <v>2372.88</v>
      </c>
    </row>
    <row r="691" spans="1:14" x14ac:dyDescent="0.2">
      <c r="A691" t="s">
        <v>703</v>
      </c>
      <c r="B691" s="5" t="s">
        <v>4413</v>
      </c>
      <c r="C691" s="6" t="s">
        <v>1901</v>
      </c>
      <c r="D691" t="s">
        <v>2405</v>
      </c>
      <c r="E691" s="5">
        <v>2</v>
      </c>
      <c r="F691" s="5">
        <v>444.84</v>
      </c>
      <c r="G691" s="6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4299</v>
      </c>
      <c r="M691" t="s">
        <v>4281</v>
      </c>
      <c r="N691" s="5">
        <v>889.68</v>
      </c>
    </row>
    <row r="692" spans="1:14" x14ac:dyDescent="0.2">
      <c r="A692" t="s">
        <v>704</v>
      </c>
      <c r="B692" s="4">
        <v>45633</v>
      </c>
      <c r="C692" s="6" t="s">
        <v>1902</v>
      </c>
      <c r="D692" t="s">
        <v>2403</v>
      </c>
      <c r="E692" s="5">
        <v>1</v>
      </c>
      <c r="F692" s="5">
        <v>24.48</v>
      </c>
      <c r="G692" s="6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4299</v>
      </c>
      <c r="M692" t="s">
        <v>4278</v>
      </c>
      <c r="N692" s="5">
        <v>24.48</v>
      </c>
    </row>
    <row r="693" spans="1:14" x14ac:dyDescent="0.2">
      <c r="A693" t="s">
        <v>705</v>
      </c>
      <c r="B693" s="5" t="s">
        <v>4400</v>
      </c>
      <c r="C693" s="6" t="s">
        <v>1903</v>
      </c>
      <c r="D693" t="s">
        <v>2408</v>
      </c>
      <c r="E693" s="5">
        <v>3</v>
      </c>
      <c r="F693" s="5">
        <v>239.08</v>
      </c>
      <c r="G693" s="6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4299</v>
      </c>
      <c r="M693" t="s">
        <v>4282</v>
      </c>
      <c r="N693" s="5">
        <v>717.24</v>
      </c>
    </row>
    <row r="694" spans="1:14" x14ac:dyDescent="0.2">
      <c r="A694" t="s">
        <v>706</v>
      </c>
      <c r="B694" s="5" t="s">
        <v>4309</v>
      </c>
      <c r="C694" s="6" t="s">
        <v>1904</v>
      </c>
      <c r="D694" t="s">
        <v>2409</v>
      </c>
      <c r="E694" s="5">
        <v>5</v>
      </c>
      <c r="F694" s="5">
        <v>196.84</v>
      </c>
      <c r="G694" s="6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5">
        <v>984.2</v>
      </c>
    </row>
    <row r="695" spans="1:14" x14ac:dyDescent="0.2">
      <c r="A695" t="s">
        <v>707</v>
      </c>
      <c r="B695" s="4">
        <v>45994</v>
      </c>
      <c r="C695" s="6" t="s">
        <v>1905</v>
      </c>
      <c r="D695" t="s">
        <v>2403</v>
      </c>
      <c r="E695" s="5">
        <v>1</v>
      </c>
      <c r="F695" s="5">
        <v>176.58</v>
      </c>
      <c r="G695" s="6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4299</v>
      </c>
      <c r="M695" t="s">
        <v>4279</v>
      </c>
      <c r="N695" s="5">
        <v>176.58</v>
      </c>
    </row>
    <row r="696" spans="1:14" x14ac:dyDescent="0.2">
      <c r="A696" t="s">
        <v>708</v>
      </c>
      <c r="B696" s="4">
        <v>44967</v>
      </c>
      <c r="C696" s="6" t="s">
        <v>1906</v>
      </c>
      <c r="D696" t="s">
        <v>2407</v>
      </c>
      <c r="E696" s="5">
        <v>4</v>
      </c>
      <c r="F696" s="5">
        <v>666.52</v>
      </c>
      <c r="G696" s="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7">
        <v>2666.08</v>
      </c>
    </row>
    <row r="697" spans="1:14" x14ac:dyDescent="0.2">
      <c r="A697" t="s">
        <v>709</v>
      </c>
      <c r="B697" s="5" t="s">
        <v>4558</v>
      </c>
      <c r="C697" s="6" t="s">
        <v>1907</v>
      </c>
      <c r="D697" t="s">
        <v>2407</v>
      </c>
      <c r="E697" s="5">
        <v>5</v>
      </c>
      <c r="F697" s="5">
        <v>101.3</v>
      </c>
      <c r="G697" s="6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5">
        <v>506.5</v>
      </c>
    </row>
    <row r="698" spans="1:14" x14ac:dyDescent="0.2">
      <c r="A698" t="s">
        <v>710</v>
      </c>
      <c r="B698" s="4">
        <v>44964</v>
      </c>
      <c r="C698" s="6" t="s">
        <v>1908</v>
      </c>
      <c r="D698" t="s">
        <v>2406</v>
      </c>
      <c r="E698" s="5">
        <v>4</v>
      </c>
      <c r="F698" s="5">
        <v>151.19999999999999</v>
      </c>
      <c r="G698" s="6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5">
        <v>604.79999999999995</v>
      </c>
    </row>
    <row r="699" spans="1:14" x14ac:dyDescent="0.2">
      <c r="A699" t="s">
        <v>711</v>
      </c>
      <c r="B699" s="4">
        <v>45749</v>
      </c>
      <c r="C699" s="6" t="s">
        <v>1909</v>
      </c>
      <c r="D699" t="s">
        <v>2407</v>
      </c>
      <c r="E699" s="5">
        <v>5</v>
      </c>
      <c r="F699" s="5">
        <v>94.85</v>
      </c>
      <c r="G699" s="6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5">
        <v>474.25</v>
      </c>
    </row>
    <row r="700" spans="1:14" x14ac:dyDescent="0.2">
      <c r="A700" t="s">
        <v>712</v>
      </c>
      <c r="B700" s="4">
        <v>45017</v>
      </c>
      <c r="C700" s="6" t="s">
        <v>1910</v>
      </c>
      <c r="D700" t="s">
        <v>2408</v>
      </c>
      <c r="E700" s="5">
        <v>2</v>
      </c>
      <c r="F700" s="5">
        <v>388.22</v>
      </c>
      <c r="G700" s="6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5">
        <v>776.44</v>
      </c>
    </row>
    <row r="701" spans="1:14" x14ac:dyDescent="0.2">
      <c r="A701" t="s">
        <v>713</v>
      </c>
      <c r="B701" s="5" t="s">
        <v>4591</v>
      </c>
      <c r="C701" s="6" t="s">
        <v>1911</v>
      </c>
      <c r="D701" t="s">
        <v>2408</v>
      </c>
      <c r="E701" s="5">
        <v>3</v>
      </c>
      <c r="F701" s="5">
        <v>614.15</v>
      </c>
      <c r="G701" s="6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4299</v>
      </c>
      <c r="M701" t="s">
        <v>4281</v>
      </c>
      <c r="N701" s="7">
        <v>1842.45</v>
      </c>
    </row>
    <row r="702" spans="1:14" x14ac:dyDescent="0.2">
      <c r="A702" t="s">
        <v>714</v>
      </c>
      <c r="B702" s="5" t="s">
        <v>4592</v>
      </c>
      <c r="C702" s="6" t="s">
        <v>1912</v>
      </c>
      <c r="D702" t="s">
        <v>2408</v>
      </c>
      <c r="E702" s="5">
        <v>2</v>
      </c>
      <c r="F702" s="5">
        <v>92.91</v>
      </c>
      <c r="G702" s="6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5">
        <v>185.82</v>
      </c>
    </row>
    <row r="703" spans="1:14" x14ac:dyDescent="0.2">
      <c r="A703" t="s">
        <v>715</v>
      </c>
      <c r="B703" s="5" t="s">
        <v>4593</v>
      </c>
      <c r="C703" s="6" t="s">
        <v>1913</v>
      </c>
      <c r="D703" t="s">
        <v>2403</v>
      </c>
      <c r="E703" s="5">
        <v>3</v>
      </c>
      <c r="F703" s="5">
        <v>92.22</v>
      </c>
      <c r="G703" s="6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5">
        <v>276.66000000000003</v>
      </c>
    </row>
    <row r="704" spans="1:14" x14ac:dyDescent="0.2">
      <c r="A704" t="s">
        <v>716</v>
      </c>
      <c r="B704" s="4">
        <v>45541</v>
      </c>
      <c r="C704" s="6" t="s">
        <v>1914</v>
      </c>
      <c r="D704" t="s">
        <v>2407</v>
      </c>
      <c r="E704" s="5">
        <v>3</v>
      </c>
      <c r="F704" s="5">
        <v>562.54999999999995</v>
      </c>
      <c r="G704" s="6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4299</v>
      </c>
      <c r="M704" t="s">
        <v>4280</v>
      </c>
      <c r="N704" s="7">
        <v>1687.65</v>
      </c>
    </row>
    <row r="705" spans="1:14" x14ac:dyDescent="0.2">
      <c r="A705" t="s">
        <v>717</v>
      </c>
      <c r="B705" s="5" t="s">
        <v>4594</v>
      </c>
      <c r="C705" s="6" t="s">
        <v>1915</v>
      </c>
      <c r="D705" t="s">
        <v>2409</v>
      </c>
      <c r="E705" s="5">
        <v>1</v>
      </c>
      <c r="F705" s="5">
        <v>92.79</v>
      </c>
      <c r="G705" s="6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5">
        <v>92.79</v>
      </c>
    </row>
    <row r="706" spans="1:14" x14ac:dyDescent="0.2">
      <c r="A706" t="s">
        <v>718</v>
      </c>
      <c r="B706" s="4">
        <v>44991</v>
      </c>
      <c r="C706" s="6" t="s">
        <v>1916</v>
      </c>
      <c r="D706" t="s">
        <v>2409</v>
      </c>
      <c r="E706" s="5">
        <v>4</v>
      </c>
      <c r="F706" s="5">
        <v>30.27</v>
      </c>
      <c r="G706" s="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5">
        <v>121.08</v>
      </c>
    </row>
    <row r="707" spans="1:14" x14ac:dyDescent="0.2">
      <c r="A707" t="s">
        <v>719</v>
      </c>
      <c r="B707" s="5" t="s">
        <v>4595</v>
      </c>
      <c r="C707" s="6" t="s">
        <v>1917</v>
      </c>
      <c r="D707" t="s">
        <v>2403</v>
      </c>
      <c r="E707" s="5">
        <v>2</v>
      </c>
      <c r="F707" s="5">
        <v>49.08</v>
      </c>
      <c r="G707" s="6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5">
        <v>98.16</v>
      </c>
    </row>
    <row r="708" spans="1:14" x14ac:dyDescent="0.2">
      <c r="A708" t="s">
        <v>720</v>
      </c>
      <c r="B708" s="4">
        <v>45691</v>
      </c>
      <c r="C708" s="6" t="s">
        <v>1918</v>
      </c>
      <c r="D708" t="s">
        <v>2409</v>
      </c>
      <c r="E708" s="5">
        <v>5</v>
      </c>
      <c r="F708" s="5">
        <v>228.09</v>
      </c>
      <c r="G708" s="6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7">
        <v>1140.45</v>
      </c>
    </row>
    <row r="709" spans="1:14" x14ac:dyDescent="0.2">
      <c r="A709" t="s">
        <v>721</v>
      </c>
      <c r="B709" s="4">
        <v>45302</v>
      </c>
      <c r="C709" s="6" t="s">
        <v>1919</v>
      </c>
      <c r="D709" t="s">
        <v>2406</v>
      </c>
      <c r="E709" s="5">
        <v>4</v>
      </c>
      <c r="F709" s="5">
        <v>650.04</v>
      </c>
      <c r="G709" s="6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7">
        <v>2600.16</v>
      </c>
    </row>
    <row r="710" spans="1:14" x14ac:dyDescent="0.2">
      <c r="A710" t="s">
        <v>722</v>
      </c>
      <c r="B710" s="4">
        <v>45750</v>
      </c>
      <c r="C710" s="6" t="s">
        <v>1920</v>
      </c>
      <c r="D710" t="s">
        <v>2407</v>
      </c>
      <c r="E710" s="5">
        <v>1</v>
      </c>
      <c r="F710" s="5">
        <v>665.11</v>
      </c>
      <c r="G710" s="6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5">
        <v>665.11</v>
      </c>
    </row>
    <row r="711" spans="1:14" x14ac:dyDescent="0.2">
      <c r="A711" t="s">
        <v>723</v>
      </c>
      <c r="B711" s="4">
        <v>45485</v>
      </c>
      <c r="C711" s="6" t="s">
        <v>1921</v>
      </c>
      <c r="D711" t="s">
        <v>2409</v>
      </c>
      <c r="E711" s="5">
        <v>1</v>
      </c>
      <c r="F711" s="5">
        <v>386.03</v>
      </c>
      <c r="G711" s="6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5">
        <v>386.03</v>
      </c>
    </row>
    <row r="712" spans="1:14" x14ac:dyDescent="0.2">
      <c r="A712" t="s">
        <v>724</v>
      </c>
      <c r="B712" s="5" t="s">
        <v>4486</v>
      </c>
      <c r="C712" s="6" t="s">
        <v>1922</v>
      </c>
      <c r="D712" t="s">
        <v>2408</v>
      </c>
      <c r="E712" s="5">
        <v>5</v>
      </c>
      <c r="F712" s="5">
        <v>21.54</v>
      </c>
      <c r="G712" s="6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4299</v>
      </c>
      <c r="M712" t="s">
        <v>4282</v>
      </c>
      <c r="N712" s="5">
        <v>107.7</v>
      </c>
    </row>
    <row r="713" spans="1:14" x14ac:dyDescent="0.2">
      <c r="A713" t="s">
        <v>725</v>
      </c>
      <c r="B713" s="4">
        <v>45389</v>
      </c>
      <c r="C713" s="6" t="s">
        <v>1923</v>
      </c>
      <c r="D713" t="s">
        <v>2405</v>
      </c>
      <c r="E713" s="5">
        <v>2</v>
      </c>
      <c r="F713" s="5">
        <v>475.78</v>
      </c>
      <c r="G713" s="6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5">
        <v>951.56</v>
      </c>
    </row>
    <row r="714" spans="1:14" x14ac:dyDescent="0.2">
      <c r="A714" t="s">
        <v>726</v>
      </c>
      <c r="B714" s="4">
        <v>45536</v>
      </c>
      <c r="C714" s="6" t="s">
        <v>1771</v>
      </c>
      <c r="D714" t="s">
        <v>2405</v>
      </c>
      <c r="E714" s="5">
        <v>2</v>
      </c>
      <c r="F714" s="5">
        <v>68.400000000000006</v>
      </c>
      <c r="G714" s="6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5">
        <v>136.80000000000001</v>
      </c>
    </row>
    <row r="715" spans="1:14" x14ac:dyDescent="0.2">
      <c r="A715" t="s">
        <v>727</v>
      </c>
      <c r="B715" s="5" t="s">
        <v>4518</v>
      </c>
      <c r="C715" s="6" t="s">
        <v>1924</v>
      </c>
      <c r="D715" t="s">
        <v>2405</v>
      </c>
      <c r="E715" s="5">
        <v>4</v>
      </c>
      <c r="F715" s="5">
        <v>532.49</v>
      </c>
      <c r="G715" s="6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7">
        <v>2129.96</v>
      </c>
    </row>
    <row r="716" spans="1:14" x14ac:dyDescent="0.2">
      <c r="A716" t="s">
        <v>728</v>
      </c>
      <c r="B716" s="5" t="s">
        <v>4568</v>
      </c>
      <c r="C716" s="6" t="s">
        <v>1925</v>
      </c>
      <c r="D716" t="s">
        <v>2408</v>
      </c>
      <c r="E716" s="5">
        <v>1</v>
      </c>
      <c r="F716" s="5">
        <v>51.73</v>
      </c>
      <c r="G716" s="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5">
        <v>51.73</v>
      </c>
    </row>
    <row r="717" spans="1:14" x14ac:dyDescent="0.2">
      <c r="A717" t="s">
        <v>729</v>
      </c>
      <c r="B717" s="5" t="s">
        <v>4596</v>
      </c>
      <c r="C717" s="6" t="s">
        <v>1926</v>
      </c>
      <c r="D717" t="s">
        <v>2407</v>
      </c>
      <c r="E717" s="5">
        <v>3</v>
      </c>
      <c r="F717" s="5">
        <v>653.63</v>
      </c>
      <c r="G717" s="6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7">
        <v>1960.89</v>
      </c>
    </row>
    <row r="718" spans="1:14" x14ac:dyDescent="0.2">
      <c r="A718" t="s">
        <v>730</v>
      </c>
      <c r="B718" s="5" t="s">
        <v>4381</v>
      </c>
      <c r="C718" s="6" t="s">
        <v>1927</v>
      </c>
      <c r="D718" t="s">
        <v>2406</v>
      </c>
      <c r="E718" s="5">
        <v>3</v>
      </c>
      <c r="F718" s="5">
        <v>454.29</v>
      </c>
      <c r="G718" s="6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7">
        <v>1362.87</v>
      </c>
    </row>
    <row r="719" spans="1:14" x14ac:dyDescent="0.2">
      <c r="A719" t="s">
        <v>731</v>
      </c>
      <c r="B719" s="5" t="s">
        <v>4597</v>
      </c>
      <c r="C719" s="6" t="s">
        <v>1928</v>
      </c>
      <c r="D719" t="s">
        <v>2406</v>
      </c>
      <c r="E719" s="5">
        <v>3</v>
      </c>
      <c r="F719" s="5">
        <v>122.11</v>
      </c>
      <c r="G719" s="6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5">
        <v>366.33</v>
      </c>
    </row>
    <row r="720" spans="1:14" x14ac:dyDescent="0.2">
      <c r="A720" t="s">
        <v>732</v>
      </c>
      <c r="B720" s="4">
        <v>45142</v>
      </c>
      <c r="C720" s="6" t="s">
        <v>1929</v>
      </c>
      <c r="D720" t="s">
        <v>2408</v>
      </c>
      <c r="E720" s="5">
        <v>4</v>
      </c>
      <c r="F720" s="5">
        <v>64.739999999999995</v>
      </c>
      <c r="G720" s="6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5">
        <v>258.95999999999998</v>
      </c>
    </row>
    <row r="721" spans="1:14" x14ac:dyDescent="0.2">
      <c r="A721" t="s">
        <v>733</v>
      </c>
      <c r="B721" s="5" t="s">
        <v>4598</v>
      </c>
      <c r="C721" s="6" t="s">
        <v>1930</v>
      </c>
      <c r="D721" t="s">
        <v>2408</v>
      </c>
      <c r="E721" s="5">
        <v>2</v>
      </c>
      <c r="F721" s="5">
        <v>681.06</v>
      </c>
      <c r="G721" s="6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7">
        <v>1362.12</v>
      </c>
    </row>
    <row r="722" spans="1:14" x14ac:dyDescent="0.2">
      <c r="A722" t="s">
        <v>734</v>
      </c>
      <c r="B722" s="5" t="s">
        <v>4599</v>
      </c>
      <c r="C722" s="6" t="s">
        <v>1931</v>
      </c>
      <c r="D722" t="s">
        <v>2409</v>
      </c>
      <c r="E722" s="5">
        <v>5</v>
      </c>
      <c r="F722" s="5">
        <v>128.94999999999999</v>
      </c>
      <c r="G722" s="6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5">
        <v>644.75</v>
      </c>
    </row>
    <row r="723" spans="1:14" x14ac:dyDescent="0.2">
      <c r="A723" t="s">
        <v>735</v>
      </c>
      <c r="B723" s="5" t="s">
        <v>4600</v>
      </c>
      <c r="C723" s="6" t="s">
        <v>1932</v>
      </c>
      <c r="D723" t="s">
        <v>2409</v>
      </c>
      <c r="E723" s="5">
        <v>2</v>
      </c>
      <c r="F723" s="5">
        <v>118.59</v>
      </c>
      <c r="G723" s="6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4299</v>
      </c>
      <c r="M723" t="s">
        <v>4280</v>
      </c>
      <c r="N723" s="5">
        <v>237.18</v>
      </c>
    </row>
    <row r="724" spans="1:14" x14ac:dyDescent="0.2">
      <c r="A724" t="s">
        <v>736</v>
      </c>
      <c r="B724" s="5" t="s">
        <v>4340</v>
      </c>
      <c r="C724" s="6" t="s">
        <v>1933</v>
      </c>
      <c r="D724" t="s">
        <v>2407</v>
      </c>
      <c r="E724" s="5">
        <v>1</v>
      </c>
      <c r="F724" s="5">
        <v>95.1</v>
      </c>
      <c r="G724" s="6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5">
        <v>95.1</v>
      </c>
    </row>
    <row r="725" spans="1:14" x14ac:dyDescent="0.2">
      <c r="A725" t="s">
        <v>737</v>
      </c>
      <c r="B725" s="4">
        <v>45181</v>
      </c>
      <c r="C725" s="6" t="s">
        <v>1934</v>
      </c>
      <c r="D725" t="s">
        <v>2409</v>
      </c>
      <c r="E725" s="5">
        <v>3</v>
      </c>
      <c r="F725" s="5">
        <v>54.95</v>
      </c>
      <c r="G725" s="6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5">
        <v>164.85</v>
      </c>
    </row>
    <row r="726" spans="1:14" x14ac:dyDescent="0.2">
      <c r="A726" t="s">
        <v>738</v>
      </c>
      <c r="B726" s="5" t="s">
        <v>4461</v>
      </c>
      <c r="C726" s="6" t="s">
        <v>1935</v>
      </c>
      <c r="D726" t="s">
        <v>2407</v>
      </c>
      <c r="E726" s="5">
        <v>3</v>
      </c>
      <c r="F726" s="5">
        <v>136.97</v>
      </c>
      <c r="G726" s="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5">
        <v>410.91</v>
      </c>
    </row>
    <row r="727" spans="1:14" x14ac:dyDescent="0.2">
      <c r="A727" t="s">
        <v>739</v>
      </c>
      <c r="B727" s="4">
        <v>45263</v>
      </c>
      <c r="C727" s="6" t="s">
        <v>1936</v>
      </c>
      <c r="D727" t="s">
        <v>2406</v>
      </c>
      <c r="E727" s="5">
        <v>2</v>
      </c>
      <c r="F727" s="5">
        <v>194.85</v>
      </c>
      <c r="G727" s="6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4299</v>
      </c>
      <c r="M727" t="s">
        <v>4279</v>
      </c>
      <c r="N727" s="5">
        <v>389.7</v>
      </c>
    </row>
    <row r="728" spans="1:14" x14ac:dyDescent="0.2">
      <c r="A728" t="s">
        <v>740</v>
      </c>
      <c r="B728" s="5" t="s">
        <v>4601</v>
      </c>
      <c r="C728" s="6" t="s">
        <v>1937</v>
      </c>
      <c r="D728" t="s">
        <v>2408</v>
      </c>
      <c r="E728" s="5">
        <v>4</v>
      </c>
      <c r="F728" s="5">
        <v>583.02</v>
      </c>
      <c r="G728" s="6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7">
        <v>2332.08</v>
      </c>
    </row>
    <row r="729" spans="1:14" x14ac:dyDescent="0.2">
      <c r="A729" t="s">
        <v>741</v>
      </c>
      <c r="B729" s="5" t="s">
        <v>4575</v>
      </c>
      <c r="C729" s="6" t="s">
        <v>1938</v>
      </c>
      <c r="D729" t="s">
        <v>2406</v>
      </c>
      <c r="E729" s="5">
        <v>5</v>
      </c>
      <c r="F729" s="5">
        <v>95.75</v>
      </c>
      <c r="G729" s="6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5">
        <v>478.75</v>
      </c>
    </row>
    <row r="730" spans="1:14" x14ac:dyDescent="0.2">
      <c r="A730" t="s">
        <v>742</v>
      </c>
      <c r="B730" s="5" t="s">
        <v>4602</v>
      </c>
      <c r="C730" s="6" t="s">
        <v>1939</v>
      </c>
      <c r="D730" t="s">
        <v>2409</v>
      </c>
      <c r="E730" s="5">
        <v>4</v>
      </c>
      <c r="F730" s="5">
        <v>325.76</v>
      </c>
      <c r="G730" s="6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7">
        <v>1303.04</v>
      </c>
    </row>
    <row r="731" spans="1:14" x14ac:dyDescent="0.2">
      <c r="A731" t="s">
        <v>743</v>
      </c>
      <c r="B731" s="4">
        <v>45147</v>
      </c>
      <c r="C731" s="6" t="s">
        <v>1940</v>
      </c>
      <c r="D731" t="s">
        <v>2404</v>
      </c>
      <c r="E731" s="5">
        <v>4</v>
      </c>
      <c r="F731" s="5">
        <v>186.41</v>
      </c>
      <c r="G731" s="6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5">
        <v>745.64</v>
      </c>
    </row>
    <row r="732" spans="1:14" x14ac:dyDescent="0.2">
      <c r="A732" t="s">
        <v>744</v>
      </c>
      <c r="B732" s="5" t="s">
        <v>4603</v>
      </c>
      <c r="C732" s="6" t="s">
        <v>1941</v>
      </c>
      <c r="D732" t="s">
        <v>2404</v>
      </c>
      <c r="E732" s="5">
        <v>1</v>
      </c>
      <c r="F732" s="5">
        <v>474.6</v>
      </c>
      <c r="G732" s="6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5">
        <v>474.6</v>
      </c>
    </row>
    <row r="733" spans="1:14" x14ac:dyDescent="0.2">
      <c r="A733" t="s">
        <v>745</v>
      </c>
      <c r="B733" s="4">
        <v>45479</v>
      </c>
      <c r="C733" s="6" t="s">
        <v>1942</v>
      </c>
      <c r="D733" t="s">
        <v>2407</v>
      </c>
      <c r="E733" s="5">
        <v>5</v>
      </c>
      <c r="F733" s="5">
        <v>584.46</v>
      </c>
      <c r="G733" s="6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4299</v>
      </c>
      <c r="M733" t="s">
        <v>4280</v>
      </c>
      <c r="N733" s="7">
        <v>2922.3</v>
      </c>
    </row>
    <row r="734" spans="1:14" x14ac:dyDescent="0.2">
      <c r="A734" t="s">
        <v>746</v>
      </c>
      <c r="B734" s="4">
        <v>45841</v>
      </c>
      <c r="C734" s="6" t="s">
        <v>1943</v>
      </c>
      <c r="D734" t="s">
        <v>2408</v>
      </c>
      <c r="E734" s="5">
        <v>1</v>
      </c>
      <c r="F734" s="5">
        <v>132.05000000000001</v>
      </c>
      <c r="G734" s="6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4299</v>
      </c>
      <c r="M734" t="s">
        <v>4282</v>
      </c>
      <c r="N734" s="5">
        <v>132.05000000000001</v>
      </c>
    </row>
    <row r="735" spans="1:14" x14ac:dyDescent="0.2">
      <c r="A735" t="s">
        <v>747</v>
      </c>
      <c r="B735" s="4">
        <v>45028</v>
      </c>
      <c r="C735" s="6" t="s">
        <v>1944</v>
      </c>
      <c r="D735" t="s">
        <v>2405</v>
      </c>
      <c r="E735" s="5">
        <v>4</v>
      </c>
      <c r="F735" s="5">
        <v>494.84</v>
      </c>
      <c r="G735" s="6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7">
        <v>1979.36</v>
      </c>
    </row>
    <row r="736" spans="1:14" x14ac:dyDescent="0.2">
      <c r="A736" t="s">
        <v>748</v>
      </c>
      <c r="B736" s="5" t="s">
        <v>4604</v>
      </c>
      <c r="C736" s="6" t="s">
        <v>1945</v>
      </c>
      <c r="D736" t="s">
        <v>2407</v>
      </c>
      <c r="E736" s="5">
        <v>4</v>
      </c>
      <c r="F736" s="5">
        <v>224.61</v>
      </c>
      <c r="G736" s="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5">
        <v>898.44</v>
      </c>
    </row>
    <row r="737" spans="1:14" x14ac:dyDescent="0.2">
      <c r="A737" t="s">
        <v>749</v>
      </c>
      <c r="B737" s="5" t="s">
        <v>4605</v>
      </c>
      <c r="C737" s="6" t="s">
        <v>1946</v>
      </c>
      <c r="D737" t="s">
        <v>2403</v>
      </c>
      <c r="E737" s="5">
        <v>4</v>
      </c>
      <c r="F737" s="5">
        <v>44.07</v>
      </c>
      <c r="G737" s="6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4299</v>
      </c>
      <c r="M737" t="s">
        <v>4280</v>
      </c>
      <c r="N737" s="5">
        <v>176.28</v>
      </c>
    </row>
    <row r="738" spans="1:14" x14ac:dyDescent="0.2">
      <c r="A738" t="s">
        <v>750</v>
      </c>
      <c r="B738" s="4">
        <v>45537</v>
      </c>
      <c r="C738" s="6" t="s">
        <v>1947</v>
      </c>
      <c r="D738" t="s">
        <v>2403</v>
      </c>
      <c r="E738" s="5">
        <v>5</v>
      </c>
      <c r="F738" s="5">
        <v>418.53</v>
      </c>
      <c r="G738" s="6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7">
        <v>2092.65</v>
      </c>
    </row>
    <row r="739" spans="1:14" x14ac:dyDescent="0.2">
      <c r="A739" t="s">
        <v>751</v>
      </c>
      <c r="B739" s="4">
        <v>45352</v>
      </c>
      <c r="C739" s="6" t="s">
        <v>1948</v>
      </c>
      <c r="D739" t="s">
        <v>2404</v>
      </c>
      <c r="E739" s="5">
        <v>4</v>
      </c>
      <c r="F739" s="5">
        <v>532.87</v>
      </c>
      <c r="G739" s="6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7">
        <v>2131.48</v>
      </c>
    </row>
    <row r="740" spans="1:14" x14ac:dyDescent="0.2">
      <c r="A740" t="s">
        <v>752</v>
      </c>
      <c r="B740" s="4">
        <v>45753</v>
      </c>
      <c r="C740" s="6" t="s">
        <v>1949</v>
      </c>
      <c r="D740" t="s">
        <v>2404</v>
      </c>
      <c r="E740" s="5">
        <v>2</v>
      </c>
      <c r="F740" s="5">
        <v>485.37</v>
      </c>
      <c r="G740" s="6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5">
        <v>970.74</v>
      </c>
    </row>
    <row r="741" spans="1:14" x14ac:dyDescent="0.2">
      <c r="A741" t="s">
        <v>753</v>
      </c>
      <c r="B741" s="5" t="s">
        <v>4381</v>
      </c>
      <c r="C741" s="6" t="s">
        <v>1950</v>
      </c>
      <c r="D741" t="s">
        <v>2404</v>
      </c>
      <c r="E741" s="5">
        <v>4</v>
      </c>
      <c r="F741" s="5">
        <v>386.73</v>
      </c>
      <c r="G741" s="6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7">
        <v>1546.92</v>
      </c>
    </row>
    <row r="742" spans="1:14" x14ac:dyDescent="0.2">
      <c r="A742" t="s">
        <v>754</v>
      </c>
      <c r="B742" s="5" t="s">
        <v>4505</v>
      </c>
      <c r="C742" s="6" t="s">
        <v>1951</v>
      </c>
      <c r="D742" t="s">
        <v>2409</v>
      </c>
      <c r="E742" s="5">
        <v>2</v>
      </c>
      <c r="F742" s="5">
        <v>377.47</v>
      </c>
      <c r="G742" s="6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4299</v>
      </c>
      <c r="M742" t="s">
        <v>4282</v>
      </c>
      <c r="N742" s="5">
        <v>754.94</v>
      </c>
    </row>
    <row r="743" spans="1:14" x14ac:dyDescent="0.2">
      <c r="A743" t="s">
        <v>755</v>
      </c>
      <c r="B743" s="5" t="s">
        <v>4410</v>
      </c>
      <c r="C743" s="6" t="s">
        <v>1952</v>
      </c>
      <c r="D743" t="s">
        <v>2403</v>
      </c>
      <c r="E743" s="5">
        <v>5</v>
      </c>
      <c r="F743" s="5">
        <v>332.64</v>
      </c>
      <c r="G743" s="6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4299</v>
      </c>
      <c r="M743" t="s">
        <v>4279</v>
      </c>
      <c r="N743" s="7">
        <v>1663.2</v>
      </c>
    </row>
    <row r="744" spans="1:14" x14ac:dyDescent="0.2">
      <c r="A744" t="s">
        <v>756</v>
      </c>
      <c r="B744" s="5" t="s">
        <v>4606</v>
      </c>
      <c r="C744" s="6" t="s">
        <v>1953</v>
      </c>
      <c r="D744" t="s">
        <v>2408</v>
      </c>
      <c r="E744" s="5">
        <v>3</v>
      </c>
      <c r="F744" s="5">
        <v>699.93</v>
      </c>
      <c r="G744" s="6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7">
        <v>2099.79</v>
      </c>
    </row>
    <row r="745" spans="1:14" x14ac:dyDescent="0.2">
      <c r="A745" t="s">
        <v>757</v>
      </c>
      <c r="B745" s="5" t="s">
        <v>4556</v>
      </c>
      <c r="C745" s="6" t="s">
        <v>1954</v>
      </c>
      <c r="D745" t="s">
        <v>2403</v>
      </c>
      <c r="E745" s="5">
        <v>1</v>
      </c>
      <c r="F745" s="5">
        <v>576.35</v>
      </c>
      <c r="G745" s="6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5">
        <v>576.35</v>
      </c>
    </row>
    <row r="746" spans="1:14" x14ac:dyDescent="0.2">
      <c r="A746" t="s">
        <v>758</v>
      </c>
      <c r="B746" s="4">
        <v>45632</v>
      </c>
      <c r="C746" s="6" t="s">
        <v>1955</v>
      </c>
      <c r="D746" t="s">
        <v>2405</v>
      </c>
      <c r="E746" s="5">
        <v>2</v>
      </c>
      <c r="F746" s="5">
        <v>461.37</v>
      </c>
      <c r="G746" s="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5">
        <v>922.74</v>
      </c>
    </row>
    <row r="747" spans="1:14" x14ac:dyDescent="0.2">
      <c r="A747" t="s">
        <v>759</v>
      </c>
      <c r="B747" s="4">
        <v>44960</v>
      </c>
      <c r="C747" s="6" t="s">
        <v>1956</v>
      </c>
      <c r="D747" t="s">
        <v>2407</v>
      </c>
      <c r="E747" s="5">
        <v>4</v>
      </c>
      <c r="F747" s="5">
        <v>111.3</v>
      </c>
      <c r="G747" s="6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5">
        <v>445.2</v>
      </c>
    </row>
    <row r="748" spans="1:14" x14ac:dyDescent="0.2">
      <c r="A748" t="s">
        <v>760</v>
      </c>
      <c r="B748" s="5" t="s">
        <v>4607</v>
      </c>
      <c r="C748" s="6" t="s">
        <v>1957</v>
      </c>
      <c r="D748" t="s">
        <v>2409</v>
      </c>
      <c r="E748" s="5">
        <v>3</v>
      </c>
      <c r="F748" s="5">
        <v>661.89</v>
      </c>
      <c r="G748" s="6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7">
        <v>1985.67</v>
      </c>
    </row>
    <row r="749" spans="1:14" x14ac:dyDescent="0.2">
      <c r="A749" t="s">
        <v>761</v>
      </c>
      <c r="B749" s="4">
        <v>45994</v>
      </c>
      <c r="C749" s="6" t="s">
        <v>1958</v>
      </c>
      <c r="D749" t="s">
        <v>2405</v>
      </c>
      <c r="E749" s="5">
        <v>2</v>
      </c>
      <c r="F749" s="5">
        <v>259.58</v>
      </c>
      <c r="G749" s="6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5">
        <v>519.16</v>
      </c>
    </row>
    <row r="750" spans="1:14" x14ac:dyDescent="0.2">
      <c r="A750" t="s">
        <v>762</v>
      </c>
      <c r="B750" s="5" t="s">
        <v>4608</v>
      </c>
      <c r="C750" s="6" t="s">
        <v>1959</v>
      </c>
      <c r="D750" t="s">
        <v>2405</v>
      </c>
      <c r="E750" s="5">
        <v>3</v>
      </c>
      <c r="F750" s="5">
        <v>70.81</v>
      </c>
      <c r="G750" s="6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5">
        <v>212.43</v>
      </c>
    </row>
    <row r="751" spans="1:14" x14ac:dyDescent="0.2">
      <c r="A751" t="s">
        <v>763</v>
      </c>
      <c r="B751" s="5" t="s">
        <v>4609</v>
      </c>
      <c r="C751" s="6" t="s">
        <v>1960</v>
      </c>
      <c r="D751" t="s">
        <v>2408</v>
      </c>
      <c r="E751" s="5">
        <v>1</v>
      </c>
      <c r="F751" s="5">
        <v>518.39</v>
      </c>
      <c r="G751" s="6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5">
        <v>518.39</v>
      </c>
    </row>
    <row r="752" spans="1:14" x14ac:dyDescent="0.2">
      <c r="A752" t="s">
        <v>764</v>
      </c>
      <c r="B752" s="5" t="s">
        <v>4353</v>
      </c>
      <c r="C752" s="6" t="s">
        <v>1961</v>
      </c>
      <c r="D752" t="s">
        <v>2405</v>
      </c>
      <c r="E752" s="5">
        <v>4</v>
      </c>
      <c r="F752" s="5">
        <v>145.41</v>
      </c>
      <c r="G752" s="6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5">
        <v>581.64</v>
      </c>
    </row>
    <row r="753" spans="1:14" x14ac:dyDescent="0.2">
      <c r="A753" t="s">
        <v>765</v>
      </c>
      <c r="B753" s="5" t="s">
        <v>4307</v>
      </c>
      <c r="C753" s="6" t="s">
        <v>1962</v>
      </c>
      <c r="D753" t="s">
        <v>2405</v>
      </c>
      <c r="E753" s="5">
        <v>2</v>
      </c>
      <c r="F753" s="5">
        <v>599.86</v>
      </c>
      <c r="G753" s="6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7">
        <v>1199.72</v>
      </c>
    </row>
    <row r="754" spans="1:14" x14ac:dyDescent="0.2">
      <c r="A754" t="s">
        <v>766</v>
      </c>
      <c r="B754" s="4">
        <v>45361</v>
      </c>
      <c r="C754" s="6" t="s">
        <v>1963</v>
      </c>
      <c r="D754" t="s">
        <v>2404</v>
      </c>
      <c r="E754" s="5">
        <v>4</v>
      </c>
      <c r="F754" s="5">
        <v>429.37</v>
      </c>
      <c r="G754" s="6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7">
        <v>1717.48</v>
      </c>
    </row>
    <row r="755" spans="1:14" x14ac:dyDescent="0.2">
      <c r="A755" t="s">
        <v>767</v>
      </c>
      <c r="B755" s="5" t="s">
        <v>4610</v>
      </c>
      <c r="C755" s="6" t="s">
        <v>1964</v>
      </c>
      <c r="D755" t="s">
        <v>2404</v>
      </c>
      <c r="E755" s="5">
        <v>2</v>
      </c>
      <c r="F755" s="5">
        <v>241.49</v>
      </c>
      <c r="G755" s="6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5">
        <v>482.98</v>
      </c>
    </row>
    <row r="756" spans="1:14" x14ac:dyDescent="0.2">
      <c r="A756" t="s">
        <v>768</v>
      </c>
      <c r="B756" s="5" t="s">
        <v>4379</v>
      </c>
      <c r="C756" s="6" t="s">
        <v>1965</v>
      </c>
      <c r="D756" t="s">
        <v>2407</v>
      </c>
      <c r="E756" s="5">
        <v>2</v>
      </c>
      <c r="F756" s="5">
        <v>452.05</v>
      </c>
      <c r="G756" s="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5">
        <v>904.1</v>
      </c>
    </row>
    <row r="757" spans="1:14" x14ac:dyDescent="0.2">
      <c r="A757" t="s">
        <v>769</v>
      </c>
      <c r="B757" s="5" t="s">
        <v>4611</v>
      </c>
      <c r="C757" s="6" t="s">
        <v>1966</v>
      </c>
      <c r="D757" t="s">
        <v>2409</v>
      </c>
      <c r="E757" s="5">
        <v>3</v>
      </c>
      <c r="F757" s="5">
        <v>336.71</v>
      </c>
      <c r="G757" s="6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4299</v>
      </c>
      <c r="M757" t="s">
        <v>4280</v>
      </c>
      <c r="N757" s="7">
        <v>1010.13</v>
      </c>
    </row>
    <row r="758" spans="1:14" x14ac:dyDescent="0.2">
      <c r="A758" t="s">
        <v>770</v>
      </c>
      <c r="B758" s="5" t="s">
        <v>4491</v>
      </c>
      <c r="C758" s="6" t="s">
        <v>1967</v>
      </c>
      <c r="D758" t="s">
        <v>2404</v>
      </c>
      <c r="E758" s="5">
        <v>1</v>
      </c>
      <c r="F758" s="5">
        <v>283.69</v>
      </c>
      <c r="G758" s="6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4299</v>
      </c>
      <c r="M758" t="s">
        <v>4282</v>
      </c>
      <c r="N758" s="5">
        <v>283.69</v>
      </c>
    </row>
    <row r="759" spans="1:14" x14ac:dyDescent="0.2">
      <c r="A759" t="s">
        <v>771</v>
      </c>
      <c r="B759" s="5" t="s">
        <v>4314</v>
      </c>
      <c r="C759" s="6" t="s">
        <v>1968</v>
      </c>
      <c r="D759" t="s">
        <v>2409</v>
      </c>
      <c r="E759" s="5">
        <v>1</v>
      </c>
      <c r="F759" s="5">
        <v>157.72</v>
      </c>
      <c r="G759" s="6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5">
        <v>157.72</v>
      </c>
    </row>
    <row r="760" spans="1:14" x14ac:dyDescent="0.2">
      <c r="A760" t="s">
        <v>772</v>
      </c>
      <c r="B760" s="5" t="s">
        <v>4573</v>
      </c>
      <c r="C760" s="6" t="s">
        <v>1969</v>
      </c>
      <c r="D760" t="s">
        <v>2405</v>
      </c>
      <c r="E760" s="5">
        <v>3</v>
      </c>
      <c r="F760" s="5">
        <v>624.84</v>
      </c>
      <c r="G760" s="6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7">
        <v>1874.52</v>
      </c>
    </row>
    <row r="761" spans="1:14" x14ac:dyDescent="0.2">
      <c r="A761" t="s">
        <v>773</v>
      </c>
      <c r="B761" s="5" t="s">
        <v>4612</v>
      </c>
      <c r="C761" s="6" t="s">
        <v>1970</v>
      </c>
      <c r="D761" t="s">
        <v>2409</v>
      </c>
      <c r="E761" s="5">
        <v>3</v>
      </c>
      <c r="F761" s="5">
        <v>308.01</v>
      </c>
      <c r="G761" s="6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5">
        <v>924.03</v>
      </c>
    </row>
    <row r="762" spans="1:14" x14ac:dyDescent="0.2">
      <c r="A762" t="s">
        <v>774</v>
      </c>
      <c r="B762" s="5" t="s">
        <v>4539</v>
      </c>
      <c r="C762" s="6" t="s">
        <v>1971</v>
      </c>
      <c r="D762" t="s">
        <v>2409</v>
      </c>
      <c r="E762" s="5">
        <v>1</v>
      </c>
      <c r="F762" s="5">
        <v>39.56</v>
      </c>
      <c r="G762" s="6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4299</v>
      </c>
      <c r="M762" t="s">
        <v>4282</v>
      </c>
      <c r="N762" s="5">
        <v>39.56</v>
      </c>
    </row>
    <row r="763" spans="1:14" x14ac:dyDescent="0.2">
      <c r="A763" t="s">
        <v>775</v>
      </c>
      <c r="B763" s="4">
        <v>44963</v>
      </c>
      <c r="C763" s="6" t="s">
        <v>1972</v>
      </c>
      <c r="D763" t="s">
        <v>2409</v>
      </c>
      <c r="E763" s="5">
        <v>4</v>
      </c>
      <c r="F763" s="5">
        <v>37.76</v>
      </c>
      <c r="G763" s="6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4299</v>
      </c>
      <c r="M763" t="s">
        <v>4282</v>
      </c>
      <c r="N763" s="5">
        <v>151.04</v>
      </c>
    </row>
    <row r="764" spans="1:14" x14ac:dyDescent="0.2">
      <c r="A764" t="s">
        <v>776</v>
      </c>
      <c r="B764" s="5" t="s">
        <v>4613</v>
      </c>
      <c r="C764" s="6" t="s">
        <v>1973</v>
      </c>
      <c r="D764" t="s">
        <v>2404</v>
      </c>
      <c r="E764" s="5">
        <v>3</v>
      </c>
      <c r="F764" s="5">
        <v>76.959999999999994</v>
      </c>
      <c r="G764" s="6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5">
        <v>230.88</v>
      </c>
    </row>
    <row r="765" spans="1:14" x14ac:dyDescent="0.2">
      <c r="A765" t="s">
        <v>777</v>
      </c>
      <c r="B765" s="4">
        <v>45081</v>
      </c>
      <c r="C765" s="6" t="s">
        <v>1974</v>
      </c>
      <c r="D765" t="s">
        <v>2408</v>
      </c>
      <c r="E765" s="5">
        <v>1</v>
      </c>
      <c r="F765" s="5">
        <v>569.96</v>
      </c>
      <c r="G765" s="6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5">
        <v>569.96</v>
      </c>
    </row>
    <row r="766" spans="1:14" x14ac:dyDescent="0.2">
      <c r="A766" t="s">
        <v>778</v>
      </c>
      <c r="B766" s="4">
        <v>45568</v>
      </c>
      <c r="C766" s="6" t="s">
        <v>1975</v>
      </c>
      <c r="D766" t="s">
        <v>2408</v>
      </c>
      <c r="E766" s="5">
        <v>5</v>
      </c>
      <c r="F766" s="5">
        <v>627.42999999999995</v>
      </c>
      <c r="G766" s="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7">
        <v>3137.15</v>
      </c>
    </row>
    <row r="767" spans="1:14" x14ac:dyDescent="0.2">
      <c r="A767" t="s">
        <v>779</v>
      </c>
      <c r="B767" s="4">
        <v>45087</v>
      </c>
      <c r="C767" s="6" t="s">
        <v>1976</v>
      </c>
      <c r="D767" t="s">
        <v>2408</v>
      </c>
      <c r="E767" s="5">
        <v>2</v>
      </c>
      <c r="F767" s="5">
        <v>534.91</v>
      </c>
      <c r="G767" s="6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7">
        <v>1069.82</v>
      </c>
    </row>
    <row r="768" spans="1:14" x14ac:dyDescent="0.2">
      <c r="A768" t="s">
        <v>780</v>
      </c>
      <c r="B768" s="5" t="s">
        <v>4333</v>
      </c>
      <c r="C768" s="6" t="s">
        <v>1977</v>
      </c>
      <c r="D768" t="s">
        <v>2407</v>
      </c>
      <c r="E768" s="5">
        <v>2</v>
      </c>
      <c r="F768" s="5">
        <v>278.88</v>
      </c>
      <c r="G768" s="6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5">
        <v>557.76</v>
      </c>
    </row>
    <row r="769" spans="1:14" x14ac:dyDescent="0.2">
      <c r="A769" t="s">
        <v>781</v>
      </c>
      <c r="B769" s="5" t="s">
        <v>4582</v>
      </c>
      <c r="C769" s="6" t="s">
        <v>1978</v>
      </c>
      <c r="D769" t="s">
        <v>2405</v>
      </c>
      <c r="E769" s="5">
        <v>2</v>
      </c>
      <c r="F769" s="5">
        <v>323.22000000000003</v>
      </c>
      <c r="G769" s="6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4299</v>
      </c>
      <c r="M769" t="s">
        <v>4278</v>
      </c>
      <c r="N769" s="5">
        <v>646.44000000000005</v>
      </c>
    </row>
    <row r="770" spans="1:14" x14ac:dyDescent="0.2">
      <c r="A770" t="s">
        <v>782</v>
      </c>
      <c r="B770" s="4">
        <v>45025</v>
      </c>
      <c r="C770" s="6" t="s">
        <v>1979</v>
      </c>
      <c r="D770" t="s">
        <v>2405</v>
      </c>
      <c r="E770" s="5">
        <v>5</v>
      </c>
      <c r="F770" s="5">
        <v>653.46</v>
      </c>
      <c r="G770" s="6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7">
        <v>3267.3</v>
      </c>
    </row>
    <row r="771" spans="1:14" x14ac:dyDescent="0.2">
      <c r="A771" t="s">
        <v>783</v>
      </c>
      <c r="B771" s="4">
        <v>45084</v>
      </c>
      <c r="C771" s="6" t="s">
        <v>1980</v>
      </c>
      <c r="D771" t="s">
        <v>2407</v>
      </c>
      <c r="E771" s="5">
        <v>4</v>
      </c>
      <c r="F771" s="5">
        <v>678.55</v>
      </c>
      <c r="G771" s="6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4299</v>
      </c>
      <c r="M771" t="s">
        <v>4280</v>
      </c>
      <c r="N771" s="7">
        <v>2714.2</v>
      </c>
    </row>
    <row r="772" spans="1:14" x14ac:dyDescent="0.2">
      <c r="A772" t="s">
        <v>784</v>
      </c>
      <c r="B772" s="4">
        <v>45598</v>
      </c>
      <c r="C772" s="6" t="s">
        <v>1981</v>
      </c>
      <c r="D772" t="s">
        <v>2409</v>
      </c>
      <c r="E772" s="5">
        <v>1</v>
      </c>
      <c r="F772" s="5">
        <v>314.38</v>
      </c>
      <c r="G772" s="6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4299</v>
      </c>
      <c r="M772" t="s">
        <v>4282</v>
      </c>
      <c r="N772" s="5">
        <v>314.38</v>
      </c>
    </row>
    <row r="773" spans="1:14" x14ac:dyDescent="0.2">
      <c r="A773" t="s">
        <v>785</v>
      </c>
      <c r="B773" s="4">
        <v>45632</v>
      </c>
      <c r="C773" s="6" t="s">
        <v>1982</v>
      </c>
      <c r="D773" t="s">
        <v>2404</v>
      </c>
      <c r="E773" s="5">
        <v>3</v>
      </c>
      <c r="F773" s="5">
        <v>692.44</v>
      </c>
      <c r="G773" s="6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7">
        <v>2077.3200000000002</v>
      </c>
    </row>
    <row r="774" spans="1:14" x14ac:dyDescent="0.2">
      <c r="A774" t="s">
        <v>786</v>
      </c>
      <c r="B774" s="5" t="s">
        <v>4370</v>
      </c>
      <c r="C774" s="6" t="s">
        <v>1983</v>
      </c>
      <c r="D774" t="s">
        <v>2403</v>
      </c>
      <c r="E774" s="5">
        <v>1</v>
      </c>
      <c r="F774" s="5">
        <v>604.87</v>
      </c>
      <c r="G774" s="6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4299</v>
      </c>
      <c r="M774" t="s">
        <v>4278</v>
      </c>
      <c r="N774" s="5">
        <v>604.87</v>
      </c>
    </row>
    <row r="775" spans="1:14" x14ac:dyDescent="0.2">
      <c r="A775" t="s">
        <v>787</v>
      </c>
      <c r="B775" s="5" t="s">
        <v>4399</v>
      </c>
      <c r="C775" s="6" t="s">
        <v>1984</v>
      </c>
      <c r="D775" t="s">
        <v>2404</v>
      </c>
      <c r="E775" s="5">
        <v>2</v>
      </c>
      <c r="F775" s="5">
        <v>512.33000000000004</v>
      </c>
      <c r="G775" s="6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4299</v>
      </c>
      <c r="M775" t="s">
        <v>4281</v>
      </c>
      <c r="N775" s="7">
        <v>1024.6600000000001</v>
      </c>
    </row>
    <row r="776" spans="1:14" x14ac:dyDescent="0.2">
      <c r="A776" t="s">
        <v>788</v>
      </c>
      <c r="B776" s="5" t="s">
        <v>4416</v>
      </c>
      <c r="C776" s="6" t="s">
        <v>1985</v>
      </c>
      <c r="D776" t="s">
        <v>2406</v>
      </c>
      <c r="E776" s="5">
        <v>3</v>
      </c>
      <c r="F776" s="5">
        <v>20.54</v>
      </c>
      <c r="G776" s="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5">
        <v>61.62</v>
      </c>
    </row>
    <row r="777" spans="1:14" x14ac:dyDescent="0.2">
      <c r="A777" t="s">
        <v>789</v>
      </c>
      <c r="B777" s="4">
        <v>45019</v>
      </c>
      <c r="C777" s="6" t="s">
        <v>1986</v>
      </c>
      <c r="D777" t="s">
        <v>2404</v>
      </c>
      <c r="E777" s="5">
        <v>2</v>
      </c>
      <c r="F777" s="5">
        <v>625.22</v>
      </c>
      <c r="G777" s="6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4299</v>
      </c>
      <c r="M777" t="s">
        <v>4282</v>
      </c>
      <c r="N777" s="7">
        <v>1250.44</v>
      </c>
    </row>
    <row r="778" spans="1:14" x14ac:dyDescent="0.2">
      <c r="A778" t="s">
        <v>790</v>
      </c>
      <c r="B778" s="5" t="s">
        <v>4614</v>
      </c>
      <c r="C778" s="6" t="s">
        <v>1987</v>
      </c>
      <c r="D778" t="s">
        <v>2405</v>
      </c>
      <c r="E778" s="5">
        <v>1</v>
      </c>
      <c r="F778" s="5">
        <v>21.19</v>
      </c>
      <c r="G778" s="6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5">
        <v>21.19</v>
      </c>
    </row>
    <row r="779" spans="1:14" x14ac:dyDescent="0.2">
      <c r="A779" t="s">
        <v>791</v>
      </c>
      <c r="B779" s="5" t="s">
        <v>4562</v>
      </c>
      <c r="C779" s="6" t="s">
        <v>1988</v>
      </c>
      <c r="D779" t="s">
        <v>2406</v>
      </c>
      <c r="E779" s="5">
        <v>5</v>
      </c>
      <c r="F779" s="5">
        <v>64.489999999999995</v>
      </c>
      <c r="G779" s="6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4299</v>
      </c>
      <c r="M779" t="s">
        <v>4281</v>
      </c>
      <c r="N779" s="5">
        <v>322.45</v>
      </c>
    </row>
    <row r="780" spans="1:14" x14ac:dyDescent="0.2">
      <c r="A780" t="s">
        <v>792</v>
      </c>
      <c r="B780" s="5" t="s">
        <v>4418</v>
      </c>
      <c r="C780" s="6" t="s">
        <v>1989</v>
      </c>
      <c r="D780" t="s">
        <v>2408</v>
      </c>
      <c r="E780" s="5">
        <v>4</v>
      </c>
      <c r="F780" s="5">
        <v>246.85</v>
      </c>
      <c r="G780" s="6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5">
        <v>987.4</v>
      </c>
    </row>
    <row r="781" spans="1:14" x14ac:dyDescent="0.2">
      <c r="A781" t="s">
        <v>793</v>
      </c>
      <c r="B781" s="4">
        <v>44938</v>
      </c>
      <c r="C781" s="6" t="s">
        <v>1990</v>
      </c>
      <c r="D781" t="s">
        <v>2404</v>
      </c>
      <c r="E781" s="5">
        <v>3</v>
      </c>
      <c r="F781" s="5">
        <v>588.74</v>
      </c>
      <c r="G781" s="6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7">
        <v>1766.22</v>
      </c>
    </row>
    <row r="782" spans="1:14" x14ac:dyDescent="0.2">
      <c r="A782" t="s">
        <v>794</v>
      </c>
      <c r="B782" s="5" t="s">
        <v>4345</v>
      </c>
      <c r="C782" s="6" t="s">
        <v>1991</v>
      </c>
      <c r="D782" t="s">
        <v>2408</v>
      </c>
      <c r="E782" s="5">
        <v>4</v>
      </c>
      <c r="F782" s="5">
        <v>184.48</v>
      </c>
      <c r="G782" s="6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5">
        <v>737.92</v>
      </c>
    </row>
    <row r="783" spans="1:14" x14ac:dyDescent="0.2">
      <c r="A783" t="s">
        <v>795</v>
      </c>
      <c r="B783" s="4">
        <v>45566</v>
      </c>
      <c r="C783" s="6" t="s">
        <v>1992</v>
      </c>
      <c r="D783" t="s">
        <v>2404</v>
      </c>
      <c r="E783" s="5">
        <v>5</v>
      </c>
      <c r="F783" s="5">
        <v>524.26</v>
      </c>
      <c r="G783" s="6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7">
        <v>2621.3000000000002</v>
      </c>
    </row>
    <row r="784" spans="1:14" x14ac:dyDescent="0.2">
      <c r="A784" t="s">
        <v>796</v>
      </c>
      <c r="B784" s="4">
        <v>45604</v>
      </c>
      <c r="C784" s="6" t="s">
        <v>1993</v>
      </c>
      <c r="D784" t="s">
        <v>2403</v>
      </c>
      <c r="E784" s="5">
        <v>2</v>
      </c>
      <c r="F784" s="5">
        <v>493.63</v>
      </c>
      <c r="G784" s="6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5">
        <v>987.26</v>
      </c>
    </row>
    <row r="785" spans="1:14" x14ac:dyDescent="0.2">
      <c r="A785" t="s">
        <v>797</v>
      </c>
      <c r="B785" s="5" t="s">
        <v>4615</v>
      </c>
      <c r="C785" s="6" t="s">
        <v>1994</v>
      </c>
      <c r="D785" t="s">
        <v>2407</v>
      </c>
      <c r="E785" s="5">
        <v>1</v>
      </c>
      <c r="F785" s="5">
        <v>438.34</v>
      </c>
      <c r="G785" s="6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5">
        <v>438.34</v>
      </c>
    </row>
    <row r="786" spans="1:14" x14ac:dyDescent="0.2">
      <c r="A786" t="s">
        <v>798</v>
      </c>
      <c r="B786" s="5" t="s">
        <v>4616</v>
      </c>
      <c r="C786" s="6" t="s">
        <v>1995</v>
      </c>
      <c r="D786" t="s">
        <v>2408</v>
      </c>
      <c r="E786" s="5">
        <v>1</v>
      </c>
      <c r="F786" s="5">
        <v>325.81</v>
      </c>
      <c r="G786" s="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5">
        <v>325.81</v>
      </c>
    </row>
    <row r="787" spans="1:14" x14ac:dyDescent="0.2">
      <c r="A787" t="s">
        <v>799</v>
      </c>
      <c r="B787" s="5" t="s">
        <v>4617</v>
      </c>
      <c r="C787" s="6" t="s">
        <v>1996</v>
      </c>
      <c r="D787" t="s">
        <v>2406</v>
      </c>
      <c r="E787" s="5">
        <v>1</v>
      </c>
      <c r="F787" s="5">
        <v>176.1</v>
      </c>
      <c r="G787" s="6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5">
        <v>176.1</v>
      </c>
    </row>
    <row r="788" spans="1:14" x14ac:dyDescent="0.2">
      <c r="A788" t="s">
        <v>800</v>
      </c>
      <c r="B788" s="5" t="s">
        <v>4550</v>
      </c>
      <c r="C788" s="6" t="s">
        <v>1997</v>
      </c>
      <c r="D788" t="s">
        <v>2406</v>
      </c>
      <c r="E788" s="5">
        <v>5</v>
      </c>
      <c r="F788" s="5">
        <v>45.31</v>
      </c>
      <c r="G788" s="6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4299</v>
      </c>
      <c r="M788" t="s">
        <v>4279</v>
      </c>
      <c r="N788" s="5">
        <v>226.55</v>
      </c>
    </row>
    <row r="789" spans="1:14" x14ac:dyDescent="0.2">
      <c r="A789" t="s">
        <v>801</v>
      </c>
      <c r="B789" s="5" t="s">
        <v>4618</v>
      </c>
      <c r="C789" s="6" t="s">
        <v>1998</v>
      </c>
      <c r="D789" t="s">
        <v>2409</v>
      </c>
      <c r="E789" s="5">
        <v>4</v>
      </c>
      <c r="F789" s="5">
        <v>221.96</v>
      </c>
      <c r="G789" s="6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4299</v>
      </c>
      <c r="M789" t="s">
        <v>4282</v>
      </c>
      <c r="N789" s="5">
        <v>887.84</v>
      </c>
    </row>
    <row r="790" spans="1:14" x14ac:dyDescent="0.2">
      <c r="A790" t="s">
        <v>802</v>
      </c>
      <c r="B790" s="4">
        <v>44968</v>
      </c>
      <c r="C790" s="6" t="s">
        <v>1999</v>
      </c>
      <c r="D790" t="s">
        <v>2406</v>
      </c>
      <c r="E790" s="5">
        <v>2</v>
      </c>
      <c r="F790" s="5">
        <v>601.42999999999995</v>
      </c>
      <c r="G790" s="6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7">
        <v>1202.8599999999999</v>
      </c>
    </row>
    <row r="791" spans="1:14" x14ac:dyDescent="0.2">
      <c r="A791" t="s">
        <v>803</v>
      </c>
      <c r="B791" s="5" t="s">
        <v>4619</v>
      </c>
      <c r="C791" s="6" t="s">
        <v>2000</v>
      </c>
      <c r="D791" t="s">
        <v>2405</v>
      </c>
      <c r="E791" s="5">
        <v>5</v>
      </c>
      <c r="F791" s="5">
        <v>691.28</v>
      </c>
      <c r="G791" s="6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7">
        <v>3456.4</v>
      </c>
    </row>
    <row r="792" spans="1:14" x14ac:dyDescent="0.2">
      <c r="A792" t="s">
        <v>804</v>
      </c>
      <c r="B792" s="5" t="s">
        <v>4395</v>
      </c>
      <c r="C792" s="6" t="s">
        <v>2001</v>
      </c>
      <c r="D792" t="s">
        <v>2408</v>
      </c>
      <c r="E792" s="5">
        <v>4</v>
      </c>
      <c r="F792" s="5">
        <v>417.89</v>
      </c>
      <c r="G792" s="6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4299</v>
      </c>
      <c r="M792" t="s">
        <v>4282</v>
      </c>
      <c r="N792" s="7">
        <v>1671.56</v>
      </c>
    </row>
    <row r="793" spans="1:14" x14ac:dyDescent="0.2">
      <c r="A793" t="s">
        <v>805</v>
      </c>
      <c r="B793" s="5" t="s">
        <v>4620</v>
      </c>
      <c r="C793" s="6" t="s">
        <v>2002</v>
      </c>
      <c r="D793" t="s">
        <v>2406</v>
      </c>
      <c r="E793" s="5">
        <v>4</v>
      </c>
      <c r="F793" s="5">
        <v>409.28</v>
      </c>
      <c r="G793" s="6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4299</v>
      </c>
      <c r="M793" t="s">
        <v>4280</v>
      </c>
      <c r="N793" s="7">
        <v>1637.12</v>
      </c>
    </row>
    <row r="794" spans="1:14" x14ac:dyDescent="0.2">
      <c r="A794" t="s">
        <v>806</v>
      </c>
      <c r="B794" s="5" t="s">
        <v>4524</v>
      </c>
      <c r="C794" s="6" t="s">
        <v>2003</v>
      </c>
      <c r="D794" t="s">
        <v>2409</v>
      </c>
      <c r="E794" s="5">
        <v>2</v>
      </c>
      <c r="F794" s="5">
        <v>356.35</v>
      </c>
      <c r="G794" s="6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5">
        <v>712.7</v>
      </c>
    </row>
    <row r="795" spans="1:14" x14ac:dyDescent="0.2">
      <c r="A795" t="s">
        <v>807</v>
      </c>
      <c r="B795" s="5" t="s">
        <v>4369</v>
      </c>
      <c r="C795" s="6" t="s">
        <v>2004</v>
      </c>
      <c r="D795" t="s">
        <v>2406</v>
      </c>
      <c r="E795" s="5">
        <v>5</v>
      </c>
      <c r="F795" s="5">
        <v>170.22</v>
      </c>
      <c r="G795" s="6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4299</v>
      </c>
      <c r="M795" t="s">
        <v>4279</v>
      </c>
      <c r="N795" s="5">
        <v>851.1</v>
      </c>
    </row>
    <row r="796" spans="1:14" x14ac:dyDescent="0.2">
      <c r="A796" t="s">
        <v>808</v>
      </c>
      <c r="B796" s="4">
        <v>45172</v>
      </c>
      <c r="C796" s="6" t="s">
        <v>2005</v>
      </c>
      <c r="D796" t="s">
        <v>2407</v>
      </c>
      <c r="E796" s="5">
        <v>4</v>
      </c>
      <c r="F796" s="5">
        <v>384.85</v>
      </c>
      <c r="G796" s="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7">
        <v>1539.4</v>
      </c>
    </row>
    <row r="797" spans="1:14" x14ac:dyDescent="0.2">
      <c r="A797" t="s">
        <v>809</v>
      </c>
      <c r="B797" s="5" t="s">
        <v>4621</v>
      </c>
      <c r="C797" s="6" t="s">
        <v>2006</v>
      </c>
      <c r="D797" t="s">
        <v>2408</v>
      </c>
      <c r="E797" s="5">
        <v>4</v>
      </c>
      <c r="F797" s="5">
        <v>115.77</v>
      </c>
      <c r="G797" s="6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5">
        <v>463.08</v>
      </c>
    </row>
    <row r="798" spans="1:14" x14ac:dyDescent="0.2">
      <c r="A798" t="s">
        <v>810</v>
      </c>
      <c r="B798" s="5" t="s">
        <v>4622</v>
      </c>
      <c r="C798" s="6" t="s">
        <v>2007</v>
      </c>
      <c r="D798" t="s">
        <v>2404</v>
      </c>
      <c r="E798" s="5">
        <v>3</v>
      </c>
      <c r="F798" s="5">
        <v>579.54999999999995</v>
      </c>
      <c r="G798" s="6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7">
        <v>1738.65</v>
      </c>
    </row>
    <row r="799" spans="1:14" x14ac:dyDescent="0.2">
      <c r="A799" t="s">
        <v>811</v>
      </c>
      <c r="B799" s="5" t="s">
        <v>4388</v>
      </c>
      <c r="C799" s="6" t="s">
        <v>2008</v>
      </c>
      <c r="D799" t="s">
        <v>2408</v>
      </c>
      <c r="E799" s="5">
        <v>2</v>
      </c>
      <c r="F799" s="5">
        <v>438.76</v>
      </c>
      <c r="G799" s="6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4299</v>
      </c>
      <c r="M799" t="s">
        <v>4281</v>
      </c>
      <c r="N799" s="5">
        <v>877.52</v>
      </c>
    </row>
    <row r="800" spans="1:14" x14ac:dyDescent="0.2">
      <c r="A800" t="s">
        <v>812</v>
      </c>
      <c r="B800" s="5" t="s">
        <v>4623</v>
      </c>
      <c r="C800" s="6" t="s">
        <v>2009</v>
      </c>
      <c r="D800" t="s">
        <v>2404</v>
      </c>
      <c r="E800" s="5">
        <v>5</v>
      </c>
      <c r="F800" s="5">
        <v>488.35</v>
      </c>
      <c r="G800" s="6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7">
        <v>2441.75</v>
      </c>
    </row>
    <row r="801" spans="1:14" x14ac:dyDescent="0.2">
      <c r="A801" t="s">
        <v>813</v>
      </c>
      <c r="B801" s="5" t="s">
        <v>4536</v>
      </c>
      <c r="C801" s="6" t="s">
        <v>2010</v>
      </c>
      <c r="D801" t="s">
        <v>2408</v>
      </c>
      <c r="E801" s="5">
        <v>4</v>
      </c>
      <c r="F801" s="5">
        <v>328.56</v>
      </c>
      <c r="G801" s="6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7">
        <v>1314.24</v>
      </c>
    </row>
    <row r="802" spans="1:14" x14ac:dyDescent="0.2">
      <c r="A802" t="s">
        <v>814</v>
      </c>
      <c r="B802" s="5" t="s">
        <v>4425</v>
      </c>
      <c r="C802" s="6" t="s">
        <v>2011</v>
      </c>
      <c r="D802" t="s">
        <v>2405</v>
      </c>
      <c r="E802" s="5">
        <v>1</v>
      </c>
      <c r="F802" s="5">
        <v>68.39</v>
      </c>
      <c r="G802" s="6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5">
        <v>68.39</v>
      </c>
    </row>
    <row r="803" spans="1:14" x14ac:dyDescent="0.2">
      <c r="A803" t="s">
        <v>815</v>
      </c>
      <c r="B803" s="4">
        <v>44990</v>
      </c>
      <c r="C803" s="6" t="s">
        <v>1241</v>
      </c>
      <c r="D803" t="s">
        <v>2407</v>
      </c>
      <c r="E803" s="5">
        <v>4</v>
      </c>
      <c r="F803" s="5">
        <v>595.62</v>
      </c>
      <c r="G803" s="6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7">
        <v>2382.48</v>
      </c>
    </row>
    <row r="804" spans="1:14" x14ac:dyDescent="0.2">
      <c r="A804" t="s">
        <v>816</v>
      </c>
      <c r="B804" s="5" t="s">
        <v>4302</v>
      </c>
      <c r="C804" s="6" t="s">
        <v>2012</v>
      </c>
      <c r="D804" t="s">
        <v>2406</v>
      </c>
      <c r="E804" s="5">
        <v>5</v>
      </c>
      <c r="F804" s="5">
        <v>644.64</v>
      </c>
      <c r="G804" s="6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7">
        <v>3223.2</v>
      </c>
    </row>
    <row r="805" spans="1:14" x14ac:dyDescent="0.2">
      <c r="A805" t="s">
        <v>817</v>
      </c>
      <c r="B805" s="5" t="s">
        <v>4321</v>
      </c>
      <c r="C805" s="6" t="s">
        <v>2013</v>
      </c>
      <c r="D805" t="s">
        <v>2403</v>
      </c>
      <c r="E805" s="5">
        <v>5</v>
      </c>
      <c r="F805" s="5">
        <v>397.81</v>
      </c>
      <c r="G805" s="6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7">
        <v>1989.05</v>
      </c>
    </row>
    <row r="806" spans="1:14" x14ac:dyDescent="0.2">
      <c r="A806" t="s">
        <v>818</v>
      </c>
      <c r="B806" s="4">
        <v>45292</v>
      </c>
      <c r="C806" s="6" t="s">
        <v>2014</v>
      </c>
      <c r="D806" t="s">
        <v>2406</v>
      </c>
      <c r="E806" s="5">
        <v>3</v>
      </c>
      <c r="F806" s="5">
        <v>236.5</v>
      </c>
      <c r="G806" s="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5">
        <v>709.5</v>
      </c>
    </row>
    <row r="807" spans="1:14" x14ac:dyDescent="0.2">
      <c r="A807" t="s">
        <v>819</v>
      </c>
      <c r="B807" s="5" t="s">
        <v>4303</v>
      </c>
      <c r="C807" s="6" t="s">
        <v>2015</v>
      </c>
      <c r="D807" t="s">
        <v>2408</v>
      </c>
      <c r="E807" s="5">
        <v>5</v>
      </c>
      <c r="F807" s="5">
        <v>472.01</v>
      </c>
      <c r="G807" s="6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7">
        <v>2360.0500000000002</v>
      </c>
    </row>
    <row r="808" spans="1:14" x14ac:dyDescent="0.2">
      <c r="A808" t="s">
        <v>820</v>
      </c>
      <c r="B808" s="4">
        <v>44935</v>
      </c>
      <c r="C808" s="6" t="s">
        <v>2016</v>
      </c>
      <c r="D808" t="s">
        <v>2406</v>
      </c>
      <c r="E808" s="5">
        <v>5</v>
      </c>
      <c r="F808" s="5">
        <v>253.75</v>
      </c>
      <c r="G808" s="6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7">
        <v>1268.75</v>
      </c>
    </row>
    <row r="809" spans="1:14" x14ac:dyDescent="0.2">
      <c r="A809" t="s">
        <v>821</v>
      </c>
      <c r="B809" s="4">
        <v>45576</v>
      </c>
      <c r="C809" s="6" t="s">
        <v>2017</v>
      </c>
      <c r="D809" t="s">
        <v>2403</v>
      </c>
      <c r="E809" s="5">
        <v>3</v>
      </c>
      <c r="F809" s="5">
        <v>676.21</v>
      </c>
      <c r="G809" s="6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7">
        <v>2028.63</v>
      </c>
    </row>
    <row r="810" spans="1:14" x14ac:dyDescent="0.2">
      <c r="A810" t="s">
        <v>822</v>
      </c>
      <c r="B810" s="5" t="s">
        <v>4624</v>
      </c>
      <c r="C810" s="6" t="s">
        <v>2018</v>
      </c>
      <c r="D810" t="s">
        <v>2409</v>
      </c>
      <c r="E810" s="5">
        <v>3</v>
      </c>
      <c r="F810" s="5">
        <v>134.05000000000001</v>
      </c>
      <c r="G810" s="6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4299</v>
      </c>
      <c r="M810" t="s">
        <v>4282</v>
      </c>
      <c r="N810" s="5">
        <v>402.15</v>
      </c>
    </row>
    <row r="811" spans="1:14" x14ac:dyDescent="0.2">
      <c r="A811" t="s">
        <v>823</v>
      </c>
      <c r="B811" s="4">
        <v>45539</v>
      </c>
      <c r="C811" s="6" t="s">
        <v>2019</v>
      </c>
      <c r="D811" t="s">
        <v>2409</v>
      </c>
      <c r="E811" s="5">
        <v>5</v>
      </c>
      <c r="F811" s="5">
        <v>217.43</v>
      </c>
      <c r="G811" s="6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7">
        <v>1087.1500000000001</v>
      </c>
    </row>
    <row r="812" spans="1:14" x14ac:dyDescent="0.2">
      <c r="A812" t="s">
        <v>824</v>
      </c>
      <c r="B812" s="5" t="s">
        <v>4625</v>
      </c>
      <c r="C812" s="6" t="s">
        <v>2020</v>
      </c>
      <c r="D812" t="s">
        <v>2405</v>
      </c>
      <c r="E812" s="5">
        <v>1</v>
      </c>
      <c r="F812" s="5">
        <v>553.55999999999995</v>
      </c>
      <c r="G812" s="6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4299</v>
      </c>
      <c r="M812" t="s">
        <v>4279</v>
      </c>
      <c r="N812" s="5">
        <v>553.55999999999995</v>
      </c>
    </row>
    <row r="813" spans="1:14" x14ac:dyDescent="0.2">
      <c r="A813" t="s">
        <v>825</v>
      </c>
      <c r="B813" s="4">
        <v>45057</v>
      </c>
      <c r="C813" s="6" t="s">
        <v>2021</v>
      </c>
      <c r="D813" t="s">
        <v>2408</v>
      </c>
      <c r="E813" s="5">
        <v>2</v>
      </c>
      <c r="F813" s="5">
        <v>28.55</v>
      </c>
      <c r="G813" s="6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5">
        <v>57.1</v>
      </c>
    </row>
    <row r="814" spans="1:14" x14ac:dyDescent="0.2">
      <c r="A814" t="s">
        <v>826</v>
      </c>
      <c r="B814" s="5" t="s">
        <v>4626</v>
      </c>
      <c r="C814" s="6" t="s">
        <v>2022</v>
      </c>
      <c r="D814" t="s">
        <v>2404</v>
      </c>
      <c r="E814" s="5">
        <v>2</v>
      </c>
      <c r="F814" s="5">
        <v>255.26</v>
      </c>
      <c r="G814" s="6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5">
        <v>510.52</v>
      </c>
    </row>
    <row r="815" spans="1:14" x14ac:dyDescent="0.2">
      <c r="A815" t="s">
        <v>827</v>
      </c>
      <c r="B815" s="5" t="s">
        <v>4405</v>
      </c>
      <c r="C815" s="6" t="s">
        <v>2023</v>
      </c>
      <c r="D815" t="s">
        <v>2408</v>
      </c>
      <c r="E815" s="5">
        <v>5</v>
      </c>
      <c r="F815" s="5">
        <v>292.54000000000002</v>
      </c>
      <c r="G815" s="6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7">
        <v>1462.7</v>
      </c>
    </row>
    <row r="816" spans="1:14" x14ac:dyDescent="0.2">
      <c r="A816" t="s">
        <v>828</v>
      </c>
      <c r="B816" s="4">
        <v>45608</v>
      </c>
      <c r="C816" s="6" t="s">
        <v>2024</v>
      </c>
      <c r="D816" t="s">
        <v>2406</v>
      </c>
      <c r="E816" s="5">
        <v>4</v>
      </c>
      <c r="F816" s="5">
        <v>147.51</v>
      </c>
      <c r="G816" s="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5">
        <v>590.04</v>
      </c>
    </row>
    <row r="817" spans="1:14" x14ac:dyDescent="0.2">
      <c r="A817" t="s">
        <v>829</v>
      </c>
      <c r="B817" s="4">
        <v>45390</v>
      </c>
      <c r="C817" s="6" t="s">
        <v>2025</v>
      </c>
      <c r="D817" t="s">
        <v>2407</v>
      </c>
      <c r="E817" s="5">
        <v>3</v>
      </c>
      <c r="F817" s="5">
        <v>569.84</v>
      </c>
      <c r="G817" s="6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7">
        <v>1709.52</v>
      </c>
    </row>
    <row r="818" spans="1:14" x14ac:dyDescent="0.2">
      <c r="A818" t="s">
        <v>830</v>
      </c>
      <c r="B818" s="5" t="s">
        <v>4563</v>
      </c>
      <c r="C818" s="6" t="s">
        <v>2026</v>
      </c>
      <c r="D818" t="s">
        <v>2405</v>
      </c>
      <c r="E818" s="5">
        <v>5</v>
      </c>
      <c r="F818" s="5">
        <v>574.79</v>
      </c>
      <c r="G818" s="6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7">
        <v>2873.95</v>
      </c>
    </row>
    <row r="819" spans="1:14" x14ac:dyDescent="0.2">
      <c r="A819" t="s">
        <v>831</v>
      </c>
      <c r="B819" s="4">
        <v>45056</v>
      </c>
      <c r="C819" s="6" t="s">
        <v>2027</v>
      </c>
      <c r="D819" t="s">
        <v>2406</v>
      </c>
      <c r="E819" s="5">
        <v>4</v>
      </c>
      <c r="F819" s="5">
        <v>598.19000000000005</v>
      </c>
      <c r="G819" s="6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7">
        <v>2392.7600000000002</v>
      </c>
    </row>
    <row r="820" spans="1:14" x14ac:dyDescent="0.2">
      <c r="A820" t="s">
        <v>832</v>
      </c>
      <c r="B820" s="4">
        <v>44960</v>
      </c>
      <c r="C820" s="6" t="s">
        <v>2028</v>
      </c>
      <c r="D820" t="s">
        <v>2404</v>
      </c>
      <c r="E820" s="5">
        <v>4</v>
      </c>
      <c r="F820" s="5">
        <v>390.84</v>
      </c>
      <c r="G820" s="6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7">
        <v>1563.36</v>
      </c>
    </row>
    <row r="821" spans="1:14" x14ac:dyDescent="0.2">
      <c r="A821" t="s">
        <v>833</v>
      </c>
      <c r="B821" s="5" t="s">
        <v>4498</v>
      </c>
      <c r="C821" s="6" t="s">
        <v>2029</v>
      </c>
      <c r="D821" t="s">
        <v>2404</v>
      </c>
      <c r="E821" s="5">
        <v>2</v>
      </c>
      <c r="F821" s="5">
        <v>398.45</v>
      </c>
      <c r="G821" s="6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5">
        <v>796.9</v>
      </c>
    </row>
    <row r="822" spans="1:14" x14ac:dyDescent="0.2">
      <c r="A822" t="s">
        <v>834</v>
      </c>
      <c r="B822" s="5" t="s">
        <v>4396</v>
      </c>
      <c r="C822" s="6" t="s">
        <v>2030</v>
      </c>
      <c r="D822" t="s">
        <v>2404</v>
      </c>
      <c r="E822" s="5">
        <v>5</v>
      </c>
      <c r="F822" s="5">
        <v>623.80999999999995</v>
      </c>
      <c r="G822" s="6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7">
        <v>3119.05</v>
      </c>
    </row>
    <row r="823" spans="1:14" x14ac:dyDescent="0.2">
      <c r="A823" t="s">
        <v>835</v>
      </c>
      <c r="B823" s="5" t="s">
        <v>4627</v>
      </c>
      <c r="C823" s="6" t="s">
        <v>2031</v>
      </c>
      <c r="D823" t="s">
        <v>2408</v>
      </c>
      <c r="E823" s="5">
        <v>4</v>
      </c>
      <c r="F823" s="5">
        <v>174.49</v>
      </c>
      <c r="G823" s="6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5">
        <v>697.96</v>
      </c>
    </row>
    <row r="824" spans="1:14" x14ac:dyDescent="0.2">
      <c r="A824" t="s">
        <v>836</v>
      </c>
      <c r="B824" s="5" t="s">
        <v>4405</v>
      </c>
      <c r="C824" s="6" t="s">
        <v>2032</v>
      </c>
      <c r="D824" t="s">
        <v>2404</v>
      </c>
      <c r="E824" s="5">
        <v>1</v>
      </c>
      <c r="F824" s="5">
        <v>479.56</v>
      </c>
      <c r="G824" s="6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5">
        <v>479.56</v>
      </c>
    </row>
    <row r="825" spans="1:14" x14ac:dyDescent="0.2">
      <c r="A825" t="s">
        <v>837</v>
      </c>
      <c r="B825" s="4">
        <v>45483</v>
      </c>
      <c r="C825" s="6" t="s">
        <v>2033</v>
      </c>
      <c r="D825" t="s">
        <v>2408</v>
      </c>
      <c r="E825" s="5">
        <v>4</v>
      </c>
      <c r="F825" s="5">
        <v>653.13</v>
      </c>
      <c r="G825" s="6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7">
        <v>2612.52</v>
      </c>
    </row>
    <row r="826" spans="1:14" x14ac:dyDescent="0.2">
      <c r="A826" t="s">
        <v>838</v>
      </c>
      <c r="B826" s="5" t="s">
        <v>4413</v>
      </c>
      <c r="C826" s="6" t="s">
        <v>2034</v>
      </c>
      <c r="D826" t="s">
        <v>2403</v>
      </c>
      <c r="E826" s="5">
        <v>3</v>
      </c>
      <c r="F826" s="5">
        <v>481.1</v>
      </c>
      <c r="G826" s="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7">
        <v>1443.3</v>
      </c>
    </row>
    <row r="827" spans="1:14" x14ac:dyDescent="0.2">
      <c r="A827" t="s">
        <v>839</v>
      </c>
      <c r="B827" s="5" t="s">
        <v>4308</v>
      </c>
      <c r="C827" s="6" t="s">
        <v>2035</v>
      </c>
      <c r="D827" t="s">
        <v>2409</v>
      </c>
      <c r="E827" s="5">
        <v>5</v>
      </c>
      <c r="F827" s="5">
        <v>271.69</v>
      </c>
      <c r="G827" s="6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7">
        <v>1358.45</v>
      </c>
    </row>
    <row r="828" spans="1:14" x14ac:dyDescent="0.2">
      <c r="A828" t="s">
        <v>840</v>
      </c>
      <c r="B828" s="4">
        <v>45872</v>
      </c>
      <c r="C828" s="6" t="s">
        <v>2036</v>
      </c>
      <c r="D828" t="s">
        <v>2407</v>
      </c>
      <c r="E828" s="5">
        <v>3</v>
      </c>
      <c r="F828" s="5">
        <v>463.81</v>
      </c>
      <c r="G828" s="6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7">
        <v>1391.43</v>
      </c>
    </row>
    <row r="829" spans="1:14" x14ac:dyDescent="0.2">
      <c r="A829" t="s">
        <v>841</v>
      </c>
      <c r="B829" s="5" t="s">
        <v>4628</v>
      </c>
      <c r="C829" s="6" t="s">
        <v>2037</v>
      </c>
      <c r="D829" t="s">
        <v>2405</v>
      </c>
      <c r="E829" s="5">
        <v>2</v>
      </c>
      <c r="F829" s="5">
        <v>639.88</v>
      </c>
      <c r="G829" s="6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7">
        <v>1279.76</v>
      </c>
    </row>
    <row r="830" spans="1:14" x14ac:dyDescent="0.2">
      <c r="A830" t="s">
        <v>842</v>
      </c>
      <c r="B830" s="5" t="s">
        <v>4313</v>
      </c>
      <c r="C830" s="6" t="s">
        <v>2038</v>
      </c>
      <c r="D830" t="s">
        <v>2406</v>
      </c>
      <c r="E830" s="5">
        <v>4</v>
      </c>
      <c r="F830" s="5">
        <v>404.58</v>
      </c>
      <c r="G830" s="6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7">
        <v>1618.32</v>
      </c>
    </row>
    <row r="831" spans="1:14" x14ac:dyDescent="0.2">
      <c r="A831" t="s">
        <v>843</v>
      </c>
      <c r="B831" s="4">
        <v>45048</v>
      </c>
      <c r="C831" s="6" t="s">
        <v>2039</v>
      </c>
      <c r="D831" t="s">
        <v>2403</v>
      </c>
      <c r="E831" s="5">
        <v>1</v>
      </c>
      <c r="F831" s="5">
        <v>76.930000000000007</v>
      </c>
      <c r="G831" s="6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5">
        <v>76.930000000000007</v>
      </c>
    </row>
    <row r="832" spans="1:14" x14ac:dyDescent="0.2">
      <c r="A832" t="s">
        <v>844</v>
      </c>
      <c r="B832" s="4">
        <v>45608</v>
      </c>
      <c r="C832" s="6" t="s">
        <v>2040</v>
      </c>
      <c r="D832" t="s">
        <v>2405</v>
      </c>
      <c r="E832" s="5">
        <v>4</v>
      </c>
      <c r="F832" s="5">
        <v>190.64</v>
      </c>
      <c r="G832" s="6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5">
        <v>762.56</v>
      </c>
    </row>
    <row r="833" spans="1:14" x14ac:dyDescent="0.2">
      <c r="A833" t="s">
        <v>845</v>
      </c>
      <c r="B833" s="5" t="s">
        <v>4629</v>
      </c>
      <c r="C833" s="6" t="s">
        <v>2041</v>
      </c>
      <c r="D833" t="s">
        <v>2407</v>
      </c>
      <c r="E833" s="5">
        <v>2</v>
      </c>
      <c r="F833" s="5">
        <v>88.73</v>
      </c>
      <c r="G833" s="6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4299</v>
      </c>
      <c r="M833" t="s">
        <v>4282</v>
      </c>
      <c r="N833" s="5">
        <v>177.46</v>
      </c>
    </row>
    <row r="834" spans="1:14" x14ac:dyDescent="0.2">
      <c r="A834" t="s">
        <v>846</v>
      </c>
      <c r="B834" s="4">
        <v>45629</v>
      </c>
      <c r="C834" s="6" t="s">
        <v>2042</v>
      </c>
      <c r="D834" t="s">
        <v>2406</v>
      </c>
      <c r="E834" s="5">
        <v>5</v>
      </c>
      <c r="F834" s="5">
        <v>485.71</v>
      </c>
      <c r="G834" s="6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7">
        <v>2428.5500000000002</v>
      </c>
    </row>
    <row r="835" spans="1:14" x14ac:dyDescent="0.2">
      <c r="A835" t="s">
        <v>847</v>
      </c>
      <c r="B835" s="5" t="s">
        <v>4529</v>
      </c>
      <c r="C835" s="6" t="s">
        <v>2043</v>
      </c>
      <c r="D835" t="s">
        <v>2404</v>
      </c>
      <c r="E835" s="5">
        <v>5</v>
      </c>
      <c r="F835" s="5">
        <v>78.290000000000006</v>
      </c>
      <c r="G835" s="6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5">
        <v>391.45</v>
      </c>
    </row>
    <row r="836" spans="1:14" x14ac:dyDescent="0.2">
      <c r="A836" t="s">
        <v>848</v>
      </c>
      <c r="B836" s="4">
        <v>45600</v>
      </c>
      <c r="C836" s="6" t="s">
        <v>2044</v>
      </c>
      <c r="D836" t="s">
        <v>2407</v>
      </c>
      <c r="E836" s="5">
        <v>5</v>
      </c>
      <c r="F836" s="5">
        <v>22.14</v>
      </c>
      <c r="G836" s="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4299</v>
      </c>
      <c r="M836" t="s">
        <v>4278</v>
      </c>
      <c r="N836" s="5">
        <v>110.7</v>
      </c>
    </row>
    <row r="837" spans="1:14" x14ac:dyDescent="0.2">
      <c r="A837" t="s">
        <v>849</v>
      </c>
      <c r="B837" s="5" t="s">
        <v>4473</v>
      </c>
      <c r="C837" s="6" t="s">
        <v>2045</v>
      </c>
      <c r="D837" t="s">
        <v>2409</v>
      </c>
      <c r="E837" s="5">
        <v>1</v>
      </c>
      <c r="F837" s="5">
        <v>679.65</v>
      </c>
      <c r="G837" s="6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5">
        <v>679.65</v>
      </c>
    </row>
    <row r="838" spans="1:14" x14ac:dyDescent="0.2">
      <c r="A838" t="s">
        <v>850</v>
      </c>
      <c r="B838" s="4">
        <v>44959</v>
      </c>
      <c r="C838" s="6" t="s">
        <v>2046</v>
      </c>
      <c r="D838" t="s">
        <v>2404</v>
      </c>
      <c r="E838" s="5">
        <v>1</v>
      </c>
      <c r="F838" s="5">
        <v>178.44</v>
      </c>
      <c r="G838" s="6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5">
        <v>178.44</v>
      </c>
    </row>
    <row r="839" spans="1:14" x14ac:dyDescent="0.2">
      <c r="A839" t="s">
        <v>851</v>
      </c>
      <c r="B839" s="5" t="s">
        <v>4630</v>
      </c>
      <c r="C839" s="6" t="s">
        <v>2047</v>
      </c>
      <c r="D839" t="s">
        <v>2406</v>
      </c>
      <c r="E839" s="5">
        <v>5</v>
      </c>
      <c r="F839" s="5">
        <v>655.55</v>
      </c>
      <c r="G839" s="6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4299</v>
      </c>
      <c r="M839" t="s">
        <v>4280</v>
      </c>
      <c r="N839" s="7">
        <v>3277.75</v>
      </c>
    </row>
    <row r="840" spans="1:14" x14ac:dyDescent="0.2">
      <c r="A840" t="s">
        <v>852</v>
      </c>
      <c r="B840" s="4">
        <v>45600</v>
      </c>
      <c r="C840" s="6" t="s">
        <v>2048</v>
      </c>
      <c r="D840" t="s">
        <v>2409</v>
      </c>
      <c r="E840" s="5">
        <v>4</v>
      </c>
      <c r="F840" s="5">
        <v>577.08000000000004</v>
      </c>
      <c r="G840" s="6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4299</v>
      </c>
      <c r="M840" t="s">
        <v>4281</v>
      </c>
      <c r="N840" s="7">
        <v>2308.3200000000002</v>
      </c>
    </row>
    <row r="841" spans="1:14" x14ac:dyDescent="0.2">
      <c r="A841" t="s">
        <v>853</v>
      </c>
      <c r="B841" s="5" t="s">
        <v>4485</v>
      </c>
      <c r="C841" s="6" t="s">
        <v>2049</v>
      </c>
      <c r="D841" t="s">
        <v>2406</v>
      </c>
      <c r="E841" s="5">
        <v>3</v>
      </c>
      <c r="F841" s="5">
        <v>197.97</v>
      </c>
      <c r="G841" s="6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4299</v>
      </c>
      <c r="M841" t="s">
        <v>4282</v>
      </c>
      <c r="N841" s="5">
        <v>593.91</v>
      </c>
    </row>
    <row r="842" spans="1:14" x14ac:dyDescent="0.2">
      <c r="A842" t="s">
        <v>854</v>
      </c>
      <c r="B842" s="5" t="s">
        <v>4631</v>
      </c>
      <c r="C842" s="6" t="s">
        <v>2050</v>
      </c>
      <c r="D842" t="s">
        <v>2406</v>
      </c>
      <c r="E842" s="5">
        <v>3</v>
      </c>
      <c r="F842" s="5">
        <v>411.95</v>
      </c>
      <c r="G842" s="6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7">
        <v>1235.8499999999999</v>
      </c>
    </row>
    <row r="843" spans="1:14" x14ac:dyDescent="0.2">
      <c r="A843" t="s">
        <v>855</v>
      </c>
      <c r="B843" s="5" t="s">
        <v>4632</v>
      </c>
      <c r="C843" s="6" t="s">
        <v>2051</v>
      </c>
      <c r="D843" t="s">
        <v>2407</v>
      </c>
      <c r="E843" s="5">
        <v>2</v>
      </c>
      <c r="F843" s="5">
        <v>443.22</v>
      </c>
      <c r="G843" s="6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4299</v>
      </c>
      <c r="M843" t="s">
        <v>4281</v>
      </c>
      <c r="N843" s="5">
        <v>886.44</v>
      </c>
    </row>
    <row r="844" spans="1:14" x14ac:dyDescent="0.2">
      <c r="A844" t="s">
        <v>856</v>
      </c>
      <c r="B844" s="4">
        <v>45843</v>
      </c>
      <c r="C844" s="6" t="s">
        <v>2052</v>
      </c>
      <c r="D844" t="s">
        <v>2408</v>
      </c>
      <c r="E844" s="5">
        <v>3</v>
      </c>
      <c r="F844" s="5">
        <v>364.14</v>
      </c>
      <c r="G844" s="6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7">
        <v>1092.42</v>
      </c>
    </row>
    <row r="845" spans="1:14" x14ac:dyDescent="0.2">
      <c r="A845" t="s">
        <v>857</v>
      </c>
      <c r="B845" s="5" t="s">
        <v>4633</v>
      </c>
      <c r="C845" s="6" t="s">
        <v>2053</v>
      </c>
      <c r="D845" t="s">
        <v>2409</v>
      </c>
      <c r="E845" s="5">
        <v>3</v>
      </c>
      <c r="F845" s="5">
        <v>430.06</v>
      </c>
      <c r="G845" s="6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7">
        <v>1290.18</v>
      </c>
    </row>
    <row r="846" spans="1:14" x14ac:dyDescent="0.2">
      <c r="A846" t="s">
        <v>858</v>
      </c>
      <c r="B846" s="4">
        <v>45394</v>
      </c>
      <c r="C846" s="6" t="s">
        <v>2054</v>
      </c>
      <c r="D846" t="s">
        <v>2406</v>
      </c>
      <c r="E846" s="5">
        <v>1</v>
      </c>
      <c r="F846" s="5">
        <v>320.92</v>
      </c>
      <c r="G846" s="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5">
        <v>320.92</v>
      </c>
    </row>
    <row r="847" spans="1:14" x14ac:dyDescent="0.2">
      <c r="A847" t="s">
        <v>859</v>
      </c>
      <c r="B847" s="4">
        <v>45148</v>
      </c>
      <c r="C847" s="6" t="s">
        <v>2055</v>
      </c>
      <c r="D847" t="s">
        <v>2404</v>
      </c>
      <c r="E847" s="5">
        <v>3</v>
      </c>
      <c r="F847" s="5">
        <v>107.36</v>
      </c>
      <c r="G847" s="6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5">
        <v>322.08</v>
      </c>
    </row>
    <row r="848" spans="1:14" x14ac:dyDescent="0.2">
      <c r="A848" t="s">
        <v>860</v>
      </c>
      <c r="B848" s="4">
        <v>45389</v>
      </c>
      <c r="C848" s="6" t="s">
        <v>2056</v>
      </c>
      <c r="D848" t="s">
        <v>2409</v>
      </c>
      <c r="E848" s="5">
        <v>2</v>
      </c>
      <c r="F848" s="5">
        <v>359.86</v>
      </c>
      <c r="G848" s="6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4299</v>
      </c>
      <c r="M848" t="s">
        <v>4279</v>
      </c>
      <c r="N848" s="5">
        <v>719.72</v>
      </c>
    </row>
    <row r="849" spans="1:14" x14ac:dyDescent="0.2">
      <c r="A849" t="s">
        <v>861</v>
      </c>
      <c r="B849" s="5" t="s">
        <v>4450</v>
      </c>
      <c r="C849" s="6" t="s">
        <v>2057</v>
      </c>
      <c r="D849" t="s">
        <v>2407</v>
      </c>
      <c r="E849" s="5">
        <v>4</v>
      </c>
      <c r="F849" s="5">
        <v>434.23</v>
      </c>
      <c r="G849" s="6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7">
        <v>1736.92</v>
      </c>
    </row>
    <row r="850" spans="1:14" x14ac:dyDescent="0.2">
      <c r="A850" t="s">
        <v>862</v>
      </c>
      <c r="B850" s="4">
        <v>44927</v>
      </c>
      <c r="C850" s="6" t="s">
        <v>2058</v>
      </c>
      <c r="D850" t="s">
        <v>2406</v>
      </c>
      <c r="E850" s="5">
        <v>2</v>
      </c>
      <c r="F850" s="5">
        <v>645.85</v>
      </c>
      <c r="G850" s="6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4299</v>
      </c>
      <c r="M850" t="s">
        <v>4279</v>
      </c>
      <c r="N850" s="7">
        <v>1291.7</v>
      </c>
    </row>
    <row r="851" spans="1:14" x14ac:dyDescent="0.2">
      <c r="A851" t="s">
        <v>863</v>
      </c>
      <c r="B851" s="4">
        <v>45906</v>
      </c>
      <c r="C851" s="6" t="s">
        <v>2059</v>
      </c>
      <c r="D851" t="s">
        <v>2407</v>
      </c>
      <c r="E851" s="5">
        <v>4</v>
      </c>
      <c r="F851" s="5">
        <v>214.35</v>
      </c>
      <c r="G851" s="6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5">
        <v>857.4</v>
      </c>
    </row>
    <row r="852" spans="1:14" x14ac:dyDescent="0.2">
      <c r="A852" t="s">
        <v>864</v>
      </c>
      <c r="B852" s="5" t="s">
        <v>4634</v>
      </c>
      <c r="C852" s="6" t="s">
        <v>2060</v>
      </c>
      <c r="D852" t="s">
        <v>2403</v>
      </c>
      <c r="E852" s="5">
        <v>3</v>
      </c>
      <c r="F852" s="5">
        <v>638.5</v>
      </c>
      <c r="G852" s="6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7">
        <v>1915.5</v>
      </c>
    </row>
    <row r="853" spans="1:14" x14ac:dyDescent="0.2">
      <c r="A853" t="s">
        <v>865</v>
      </c>
      <c r="B853" s="4">
        <v>45272</v>
      </c>
      <c r="C853" s="6" t="s">
        <v>2061</v>
      </c>
      <c r="D853" t="s">
        <v>2408</v>
      </c>
      <c r="E853" s="5">
        <v>1</v>
      </c>
      <c r="F853" s="5">
        <v>365.57</v>
      </c>
      <c r="G853" s="6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5">
        <v>365.57</v>
      </c>
    </row>
    <row r="854" spans="1:14" x14ac:dyDescent="0.2">
      <c r="A854" t="s">
        <v>866</v>
      </c>
      <c r="B854" s="5" t="s">
        <v>4360</v>
      </c>
      <c r="C854" s="6" t="s">
        <v>2062</v>
      </c>
      <c r="D854" t="s">
        <v>2409</v>
      </c>
      <c r="E854" s="5">
        <v>3</v>
      </c>
      <c r="F854" s="5">
        <v>568.04999999999995</v>
      </c>
      <c r="G854" s="6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7">
        <v>1704.15</v>
      </c>
    </row>
    <row r="855" spans="1:14" x14ac:dyDescent="0.2">
      <c r="A855" t="s">
        <v>867</v>
      </c>
      <c r="B855" s="5" t="s">
        <v>4597</v>
      </c>
      <c r="C855" s="6" t="s">
        <v>2063</v>
      </c>
      <c r="D855" t="s">
        <v>2407</v>
      </c>
      <c r="E855" s="5">
        <v>3</v>
      </c>
      <c r="F855" s="5">
        <v>490.01</v>
      </c>
      <c r="G855" s="6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7">
        <v>1470.03</v>
      </c>
    </row>
    <row r="856" spans="1:14" x14ac:dyDescent="0.2">
      <c r="A856" t="s">
        <v>868</v>
      </c>
      <c r="B856" s="5" t="s">
        <v>4537</v>
      </c>
      <c r="C856" s="6" t="s">
        <v>2064</v>
      </c>
      <c r="D856" t="s">
        <v>2408</v>
      </c>
      <c r="E856" s="5">
        <v>3</v>
      </c>
      <c r="F856" s="5">
        <v>372.6</v>
      </c>
      <c r="G856" s="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7">
        <v>1117.8</v>
      </c>
    </row>
    <row r="857" spans="1:14" x14ac:dyDescent="0.2">
      <c r="A857" t="s">
        <v>869</v>
      </c>
      <c r="B857" s="5" t="s">
        <v>4628</v>
      </c>
      <c r="C857" s="6" t="s">
        <v>2065</v>
      </c>
      <c r="D857" t="s">
        <v>2403</v>
      </c>
      <c r="E857" s="5">
        <v>5</v>
      </c>
      <c r="F857" s="5">
        <v>240.61</v>
      </c>
      <c r="G857" s="6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7">
        <v>1203.05</v>
      </c>
    </row>
    <row r="858" spans="1:14" x14ac:dyDescent="0.2">
      <c r="A858" t="s">
        <v>870</v>
      </c>
      <c r="B858" s="4">
        <v>45357</v>
      </c>
      <c r="C858" s="6" t="s">
        <v>2066</v>
      </c>
      <c r="D858" t="s">
        <v>2404</v>
      </c>
      <c r="E858" s="5">
        <v>1</v>
      </c>
      <c r="F858" s="5">
        <v>586.62</v>
      </c>
      <c r="G858" s="6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4299</v>
      </c>
      <c r="M858" t="s">
        <v>4281</v>
      </c>
      <c r="N858" s="5">
        <v>586.62</v>
      </c>
    </row>
    <row r="859" spans="1:14" x14ac:dyDescent="0.2">
      <c r="A859" t="s">
        <v>871</v>
      </c>
      <c r="B859" s="4">
        <v>45568</v>
      </c>
      <c r="C859" s="6" t="s">
        <v>2067</v>
      </c>
      <c r="D859" t="s">
        <v>2404</v>
      </c>
      <c r="E859" s="5">
        <v>3</v>
      </c>
      <c r="F859" s="5">
        <v>257.83999999999997</v>
      </c>
      <c r="G859" s="6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4299</v>
      </c>
      <c r="M859" t="s">
        <v>4278</v>
      </c>
      <c r="N859" s="5">
        <v>773.52</v>
      </c>
    </row>
    <row r="860" spans="1:14" x14ac:dyDescent="0.2">
      <c r="A860" t="s">
        <v>872</v>
      </c>
      <c r="B860" s="5" t="s">
        <v>4321</v>
      </c>
      <c r="C860" s="6" t="s">
        <v>2068</v>
      </c>
      <c r="D860" t="s">
        <v>2405</v>
      </c>
      <c r="E860" s="5">
        <v>5</v>
      </c>
      <c r="F860" s="5">
        <v>435.66</v>
      </c>
      <c r="G860" s="6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4299</v>
      </c>
      <c r="M860" t="s">
        <v>4281</v>
      </c>
      <c r="N860" s="7">
        <v>2178.3000000000002</v>
      </c>
    </row>
    <row r="861" spans="1:14" x14ac:dyDescent="0.2">
      <c r="A861" t="s">
        <v>873</v>
      </c>
      <c r="B861" s="5" t="s">
        <v>4635</v>
      </c>
      <c r="C861" s="6" t="s">
        <v>2069</v>
      </c>
      <c r="D861" t="s">
        <v>2406</v>
      </c>
      <c r="E861" s="5">
        <v>5</v>
      </c>
      <c r="F861" s="5">
        <v>261.33</v>
      </c>
      <c r="G861" s="6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7">
        <v>1306.6500000000001</v>
      </c>
    </row>
    <row r="862" spans="1:14" x14ac:dyDescent="0.2">
      <c r="A862" t="s">
        <v>874</v>
      </c>
      <c r="B862" s="5" t="s">
        <v>4604</v>
      </c>
      <c r="C862" s="6" t="s">
        <v>2070</v>
      </c>
      <c r="D862" t="s">
        <v>2407</v>
      </c>
      <c r="E862" s="5">
        <v>1</v>
      </c>
      <c r="F862" s="5">
        <v>422.54</v>
      </c>
      <c r="G862" s="6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5">
        <v>422.54</v>
      </c>
    </row>
    <row r="863" spans="1:14" x14ac:dyDescent="0.2">
      <c r="A863" t="s">
        <v>875</v>
      </c>
      <c r="B863" s="5" t="s">
        <v>4367</v>
      </c>
      <c r="C863" s="6" t="s">
        <v>2071</v>
      </c>
      <c r="D863" t="s">
        <v>2409</v>
      </c>
      <c r="E863" s="5">
        <v>5</v>
      </c>
      <c r="F863" s="5">
        <v>330.45</v>
      </c>
      <c r="G863" s="6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7">
        <v>1652.25</v>
      </c>
    </row>
    <row r="864" spans="1:14" x14ac:dyDescent="0.2">
      <c r="A864" t="s">
        <v>876</v>
      </c>
      <c r="B864" s="4">
        <v>44969</v>
      </c>
      <c r="C864" s="6" t="s">
        <v>2072</v>
      </c>
      <c r="D864" t="s">
        <v>2409</v>
      </c>
      <c r="E864" s="5">
        <v>3</v>
      </c>
      <c r="F864" s="5">
        <v>120.82</v>
      </c>
      <c r="G864" s="6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5">
        <v>362.46</v>
      </c>
    </row>
    <row r="865" spans="1:14" x14ac:dyDescent="0.2">
      <c r="A865" t="s">
        <v>877</v>
      </c>
      <c r="B865" s="5" t="s">
        <v>4417</v>
      </c>
      <c r="C865" s="6" t="s">
        <v>2073</v>
      </c>
      <c r="D865" t="s">
        <v>2404</v>
      </c>
      <c r="E865" s="5">
        <v>1</v>
      </c>
      <c r="F865" s="5">
        <v>14.06</v>
      </c>
      <c r="G865" s="6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5">
        <v>14.06</v>
      </c>
    </row>
    <row r="866" spans="1:14" x14ac:dyDescent="0.2">
      <c r="A866" t="s">
        <v>878</v>
      </c>
      <c r="B866" s="4">
        <v>44990</v>
      </c>
      <c r="C866" s="6" t="s">
        <v>2074</v>
      </c>
      <c r="D866" t="s">
        <v>2409</v>
      </c>
      <c r="E866" s="5">
        <v>1</v>
      </c>
      <c r="F866" s="5">
        <v>491.11</v>
      </c>
      <c r="G866" s="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5">
        <v>491.11</v>
      </c>
    </row>
    <row r="867" spans="1:14" x14ac:dyDescent="0.2">
      <c r="A867" t="s">
        <v>879</v>
      </c>
      <c r="B867" s="5" t="s">
        <v>4636</v>
      </c>
      <c r="C867" s="6" t="s">
        <v>2075</v>
      </c>
      <c r="D867" t="s">
        <v>2403</v>
      </c>
      <c r="E867" s="5">
        <v>4</v>
      </c>
      <c r="F867" s="5">
        <v>677.37</v>
      </c>
      <c r="G867" s="6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7">
        <v>2709.48</v>
      </c>
    </row>
    <row r="868" spans="1:14" x14ac:dyDescent="0.2">
      <c r="A868" t="s">
        <v>880</v>
      </c>
      <c r="B868" s="5" t="s">
        <v>4596</v>
      </c>
      <c r="C868" s="6" t="s">
        <v>2076</v>
      </c>
      <c r="D868" t="s">
        <v>2409</v>
      </c>
      <c r="E868" s="5">
        <v>5</v>
      </c>
      <c r="F868" s="5">
        <v>189.25</v>
      </c>
      <c r="G868" s="6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5">
        <v>946.25</v>
      </c>
    </row>
    <row r="869" spans="1:14" x14ac:dyDescent="0.2">
      <c r="A869" t="s">
        <v>881</v>
      </c>
      <c r="B869" s="5" t="s">
        <v>4637</v>
      </c>
      <c r="C869" s="6" t="s">
        <v>2077</v>
      </c>
      <c r="D869" t="s">
        <v>2407</v>
      </c>
      <c r="E869" s="5">
        <v>4</v>
      </c>
      <c r="F869" s="5">
        <v>142.58000000000001</v>
      </c>
      <c r="G869" s="6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5">
        <v>570.32000000000005</v>
      </c>
    </row>
    <row r="870" spans="1:14" x14ac:dyDescent="0.2">
      <c r="A870" t="s">
        <v>882</v>
      </c>
      <c r="B870" s="5" t="s">
        <v>4480</v>
      </c>
      <c r="C870" s="6" t="s">
        <v>2078</v>
      </c>
      <c r="D870" t="s">
        <v>2403</v>
      </c>
      <c r="E870" s="5">
        <v>4</v>
      </c>
      <c r="F870" s="5">
        <v>316.32</v>
      </c>
      <c r="G870" s="6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4299</v>
      </c>
      <c r="M870" t="s">
        <v>4281</v>
      </c>
      <c r="N870" s="7">
        <v>1265.28</v>
      </c>
    </row>
    <row r="871" spans="1:14" x14ac:dyDescent="0.2">
      <c r="A871" t="s">
        <v>883</v>
      </c>
      <c r="B871" s="5" t="s">
        <v>4618</v>
      </c>
      <c r="C871" s="6" t="s">
        <v>2079</v>
      </c>
      <c r="D871" t="s">
        <v>2409</v>
      </c>
      <c r="E871" s="5">
        <v>2</v>
      </c>
      <c r="F871" s="5">
        <v>533.95000000000005</v>
      </c>
      <c r="G871" s="6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7">
        <v>1067.9000000000001</v>
      </c>
    </row>
    <row r="872" spans="1:14" x14ac:dyDescent="0.2">
      <c r="A872" t="s">
        <v>884</v>
      </c>
      <c r="B872" s="4">
        <v>45663</v>
      </c>
      <c r="C872" s="6" t="s">
        <v>2080</v>
      </c>
      <c r="D872" t="s">
        <v>2404</v>
      </c>
      <c r="E872" s="5">
        <v>4</v>
      </c>
      <c r="F872" s="5">
        <v>470.09</v>
      </c>
      <c r="G872" s="6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7">
        <v>1880.36</v>
      </c>
    </row>
    <row r="873" spans="1:14" x14ac:dyDescent="0.2">
      <c r="A873" t="s">
        <v>885</v>
      </c>
      <c r="B873" s="5" t="s">
        <v>4390</v>
      </c>
      <c r="C873" s="6" t="s">
        <v>2081</v>
      </c>
      <c r="D873" t="s">
        <v>2405</v>
      </c>
      <c r="E873" s="5">
        <v>3</v>
      </c>
      <c r="F873" s="5">
        <v>324.3</v>
      </c>
      <c r="G873" s="6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5">
        <v>972.9</v>
      </c>
    </row>
    <row r="874" spans="1:14" x14ac:dyDescent="0.2">
      <c r="A874" t="s">
        <v>886</v>
      </c>
      <c r="B874" s="4">
        <v>45206</v>
      </c>
      <c r="C874" s="6" t="s">
        <v>2082</v>
      </c>
      <c r="D874" t="s">
        <v>2406</v>
      </c>
      <c r="E874" s="5">
        <v>4</v>
      </c>
      <c r="F874" s="5">
        <v>629.34</v>
      </c>
      <c r="G874" s="6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4299</v>
      </c>
      <c r="M874" t="s">
        <v>4280</v>
      </c>
      <c r="N874" s="7">
        <v>2517.36</v>
      </c>
    </row>
    <row r="875" spans="1:14" x14ac:dyDescent="0.2">
      <c r="A875" t="s">
        <v>887</v>
      </c>
      <c r="B875" s="4">
        <v>45631</v>
      </c>
      <c r="C875" s="6" t="s">
        <v>2083</v>
      </c>
      <c r="D875" t="s">
        <v>2409</v>
      </c>
      <c r="E875" s="5">
        <v>3</v>
      </c>
      <c r="F875" s="5">
        <v>136.84</v>
      </c>
      <c r="G875" s="6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5">
        <v>410.52</v>
      </c>
    </row>
    <row r="876" spans="1:14" x14ac:dyDescent="0.2">
      <c r="A876" t="s">
        <v>888</v>
      </c>
      <c r="B876" s="5" t="s">
        <v>4391</v>
      </c>
      <c r="C876" s="6" t="s">
        <v>2084</v>
      </c>
      <c r="D876" t="s">
        <v>2406</v>
      </c>
      <c r="E876" s="5">
        <v>2</v>
      </c>
      <c r="F876" s="5">
        <v>488.9</v>
      </c>
      <c r="G876" s="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5">
        <v>977.8</v>
      </c>
    </row>
    <row r="877" spans="1:14" x14ac:dyDescent="0.2">
      <c r="A877" t="s">
        <v>889</v>
      </c>
      <c r="B877" s="4">
        <v>44993</v>
      </c>
      <c r="C877" s="6" t="s">
        <v>2085</v>
      </c>
      <c r="D877" t="s">
        <v>2408</v>
      </c>
      <c r="E877" s="5">
        <v>5</v>
      </c>
      <c r="F877" s="5">
        <v>133.38999999999999</v>
      </c>
      <c r="G877" s="6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5">
        <v>666.95</v>
      </c>
    </row>
    <row r="878" spans="1:14" x14ac:dyDescent="0.2">
      <c r="A878" t="s">
        <v>890</v>
      </c>
      <c r="B878" s="4">
        <v>45541</v>
      </c>
      <c r="C878" s="6" t="s">
        <v>2086</v>
      </c>
      <c r="D878" t="s">
        <v>2406</v>
      </c>
      <c r="E878" s="5">
        <v>5</v>
      </c>
      <c r="F878" s="5">
        <v>608.91</v>
      </c>
      <c r="G878" s="6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7">
        <v>3044.55</v>
      </c>
    </row>
    <row r="879" spans="1:14" x14ac:dyDescent="0.2">
      <c r="A879" t="s">
        <v>891</v>
      </c>
      <c r="B879" s="5" t="s">
        <v>4638</v>
      </c>
      <c r="C879" s="6" t="s">
        <v>2087</v>
      </c>
      <c r="D879" t="s">
        <v>2405</v>
      </c>
      <c r="E879" s="5">
        <v>1</v>
      </c>
      <c r="F879" s="5">
        <v>524.05999999999995</v>
      </c>
      <c r="G879" s="6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5">
        <v>524.05999999999995</v>
      </c>
    </row>
    <row r="880" spans="1:14" x14ac:dyDescent="0.2">
      <c r="A880" t="s">
        <v>892</v>
      </c>
      <c r="B880" s="4">
        <v>44932</v>
      </c>
      <c r="C880" s="6" t="s">
        <v>2088</v>
      </c>
      <c r="D880" t="s">
        <v>2409</v>
      </c>
      <c r="E880" s="5">
        <v>2</v>
      </c>
      <c r="F880" s="5">
        <v>330.69</v>
      </c>
      <c r="G880" s="6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5">
        <v>661.38</v>
      </c>
    </row>
    <row r="881" spans="1:14" x14ac:dyDescent="0.2">
      <c r="A881" t="s">
        <v>893</v>
      </c>
      <c r="B881" s="4">
        <v>45873</v>
      </c>
      <c r="C881" s="6" t="s">
        <v>2089</v>
      </c>
      <c r="D881" t="s">
        <v>2404</v>
      </c>
      <c r="E881" s="5">
        <v>2</v>
      </c>
      <c r="F881" s="5">
        <v>547.66999999999996</v>
      </c>
      <c r="G881" s="6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4299</v>
      </c>
      <c r="M881" t="s">
        <v>4278</v>
      </c>
      <c r="N881" s="7">
        <v>1095.3399999999999</v>
      </c>
    </row>
    <row r="882" spans="1:14" x14ac:dyDescent="0.2">
      <c r="A882" t="s">
        <v>894</v>
      </c>
      <c r="B882" s="4">
        <v>45994</v>
      </c>
      <c r="C882" s="6" t="s">
        <v>2090</v>
      </c>
      <c r="D882" t="s">
        <v>2408</v>
      </c>
      <c r="E882" s="5">
        <v>4</v>
      </c>
      <c r="F882" s="5">
        <v>233.7</v>
      </c>
      <c r="G882" s="6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5">
        <v>934.8</v>
      </c>
    </row>
    <row r="883" spans="1:14" x14ac:dyDescent="0.2">
      <c r="A883" t="s">
        <v>895</v>
      </c>
      <c r="B883" s="4">
        <v>44986</v>
      </c>
      <c r="C883" s="6" t="s">
        <v>2091</v>
      </c>
      <c r="D883" t="s">
        <v>2405</v>
      </c>
      <c r="E883" s="5">
        <v>2</v>
      </c>
      <c r="F883" s="5">
        <v>448.85</v>
      </c>
      <c r="G883" s="6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4299</v>
      </c>
      <c r="M883" t="s">
        <v>4278</v>
      </c>
      <c r="N883" s="5">
        <v>897.7</v>
      </c>
    </row>
    <row r="884" spans="1:14" x14ac:dyDescent="0.2">
      <c r="A884" t="s">
        <v>896</v>
      </c>
      <c r="B884" s="5" t="s">
        <v>4399</v>
      </c>
      <c r="C884" s="6" t="s">
        <v>2092</v>
      </c>
      <c r="D884" t="s">
        <v>2404</v>
      </c>
      <c r="E884" s="5">
        <v>2</v>
      </c>
      <c r="F884" s="5">
        <v>274.12</v>
      </c>
      <c r="G884" s="6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5">
        <v>548.24</v>
      </c>
    </row>
    <row r="885" spans="1:14" x14ac:dyDescent="0.2">
      <c r="A885" t="s">
        <v>897</v>
      </c>
      <c r="B885" s="5" t="s">
        <v>4633</v>
      </c>
      <c r="C885" s="6" t="s">
        <v>2093</v>
      </c>
      <c r="D885" t="s">
        <v>2407</v>
      </c>
      <c r="E885" s="5">
        <v>5</v>
      </c>
      <c r="F885" s="5">
        <v>561.48</v>
      </c>
      <c r="G885" s="6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7">
        <v>2807.4</v>
      </c>
    </row>
    <row r="886" spans="1:14" x14ac:dyDescent="0.2">
      <c r="A886" t="s">
        <v>898</v>
      </c>
      <c r="B886" s="5" t="s">
        <v>4639</v>
      </c>
      <c r="C886" s="6" t="s">
        <v>2094</v>
      </c>
      <c r="D886" t="s">
        <v>2406</v>
      </c>
      <c r="E886" s="5">
        <v>1</v>
      </c>
      <c r="F886" s="5">
        <v>595.54</v>
      </c>
      <c r="G886" s="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4299</v>
      </c>
      <c r="M886" t="s">
        <v>4278</v>
      </c>
      <c r="N886" s="5">
        <v>595.54</v>
      </c>
    </row>
    <row r="887" spans="1:14" x14ac:dyDescent="0.2">
      <c r="A887" t="s">
        <v>899</v>
      </c>
      <c r="B887" s="4">
        <v>45477</v>
      </c>
      <c r="C887" s="6" t="s">
        <v>2095</v>
      </c>
      <c r="D887" t="s">
        <v>2408</v>
      </c>
      <c r="E887" s="5">
        <v>4</v>
      </c>
      <c r="F887" s="5">
        <v>515.59</v>
      </c>
      <c r="G887" s="6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7">
        <v>2062.36</v>
      </c>
    </row>
    <row r="888" spans="1:14" x14ac:dyDescent="0.2">
      <c r="A888" t="s">
        <v>900</v>
      </c>
      <c r="B888" s="5" t="s">
        <v>4527</v>
      </c>
      <c r="C888" s="6" t="s">
        <v>2096</v>
      </c>
      <c r="D888" t="s">
        <v>2404</v>
      </c>
      <c r="E888" s="5">
        <v>1</v>
      </c>
      <c r="F888" s="5">
        <v>460.13</v>
      </c>
      <c r="G888" s="6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4299</v>
      </c>
      <c r="M888" t="s">
        <v>4282</v>
      </c>
      <c r="N888" s="5">
        <v>460.13</v>
      </c>
    </row>
    <row r="889" spans="1:14" x14ac:dyDescent="0.2">
      <c r="A889" t="s">
        <v>901</v>
      </c>
      <c r="B889" s="5" t="s">
        <v>4319</v>
      </c>
      <c r="C889" s="6" t="s">
        <v>2097</v>
      </c>
      <c r="D889" t="s">
        <v>2406</v>
      </c>
      <c r="E889" s="5">
        <v>3</v>
      </c>
      <c r="F889" s="5">
        <v>171.66</v>
      </c>
      <c r="G889" s="6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4299</v>
      </c>
      <c r="M889" t="s">
        <v>4282</v>
      </c>
      <c r="N889" s="5">
        <v>514.98</v>
      </c>
    </row>
    <row r="890" spans="1:14" x14ac:dyDescent="0.2">
      <c r="A890" t="s">
        <v>902</v>
      </c>
      <c r="B890" s="5" t="s">
        <v>4640</v>
      </c>
      <c r="C890" s="6" t="s">
        <v>2098</v>
      </c>
      <c r="D890" t="s">
        <v>2408</v>
      </c>
      <c r="E890" s="5">
        <v>2</v>
      </c>
      <c r="F890" s="5">
        <v>266.95</v>
      </c>
      <c r="G890" s="6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4299</v>
      </c>
      <c r="M890" t="s">
        <v>4278</v>
      </c>
      <c r="N890" s="5">
        <v>533.9</v>
      </c>
    </row>
    <row r="891" spans="1:14" x14ac:dyDescent="0.2">
      <c r="A891" t="s">
        <v>903</v>
      </c>
      <c r="B891" s="5" t="s">
        <v>4448</v>
      </c>
      <c r="C891" s="6" t="s">
        <v>2099</v>
      </c>
      <c r="D891" t="s">
        <v>2403</v>
      </c>
      <c r="E891" s="5">
        <v>5</v>
      </c>
      <c r="F891" s="5">
        <v>650.72</v>
      </c>
      <c r="G891" s="6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7">
        <v>3253.6</v>
      </c>
    </row>
    <row r="892" spans="1:14" x14ac:dyDescent="0.2">
      <c r="A892" t="s">
        <v>904</v>
      </c>
      <c r="B892" s="4">
        <v>45238</v>
      </c>
      <c r="C892" s="6" t="s">
        <v>2100</v>
      </c>
      <c r="D892" t="s">
        <v>2408</v>
      </c>
      <c r="E892" s="5">
        <v>3</v>
      </c>
      <c r="F892" s="5">
        <v>439.53</v>
      </c>
      <c r="G892" s="6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4299</v>
      </c>
      <c r="M892" t="s">
        <v>4282</v>
      </c>
      <c r="N892" s="7">
        <v>1318.59</v>
      </c>
    </row>
    <row r="893" spans="1:14" x14ac:dyDescent="0.2">
      <c r="A893" t="s">
        <v>905</v>
      </c>
      <c r="B893" s="4">
        <v>45241</v>
      </c>
      <c r="C893" s="6" t="s">
        <v>2101</v>
      </c>
      <c r="D893" t="s">
        <v>2403</v>
      </c>
      <c r="E893" s="5">
        <v>3</v>
      </c>
      <c r="F893" s="5">
        <v>654.54</v>
      </c>
      <c r="G893" s="6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7">
        <v>1963.62</v>
      </c>
    </row>
    <row r="894" spans="1:14" x14ac:dyDescent="0.2">
      <c r="A894" t="s">
        <v>906</v>
      </c>
      <c r="B894" s="4">
        <v>45388</v>
      </c>
      <c r="C894" s="6" t="s">
        <v>2102</v>
      </c>
      <c r="D894" t="s">
        <v>2409</v>
      </c>
      <c r="E894" s="5">
        <v>1</v>
      </c>
      <c r="F894" s="5">
        <v>394.53</v>
      </c>
      <c r="G894" s="6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5">
        <v>394.53</v>
      </c>
    </row>
    <row r="895" spans="1:14" x14ac:dyDescent="0.2">
      <c r="A895" t="s">
        <v>907</v>
      </c>
      <c r="B895" s="5" t="s">
        <v>4641</v>
      </c>
      <c r="C895" s="6" t="s">
        <v>2103</v>
      </c>
      <c r="D895" t="s">
        <v>2403</v>
      </c>
      <c r="E895" s="5">
        <v>1</v>
      </c>
      <c r="F895" s="5">
        <v>678.01</v>
      </c>
      <c r="G895" s="6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5">
        <v>678.01</v>
      </c>
    </row>
    <row r="896" spans="1:14" x14ac:dyDescent="0.2">
      <c r="A896" t="s">
        <v>908</v>
      </c>
      <c r="B896" s="5" t="s">
        <v>4642</v>
      </c>
      <c r="C896" s="6" t="s">
        <v>2104</v>
      </c>
      <c r="D896" t="s">
        <v>2405</v>
      </c>
      <c r="E896" s="5">
        <v>3</v>
      </c>
      <c r="F896" s="5">
        <v>575.01</v>
      </c>
      <c r="G896" s="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7">
        <v>1725.03</v>
      </c>
    </row>
    <row r="897" spans="1:14" x14ac:dyDescent="0.2">
      <c r="A897" t="s">
        <v>909</v>
      </c>
      <c r="B897" s="4">
        <v>45180</v>
      </c>
      <c r="C897" s="6" t="s">
        <v>2105</v>
      </c>
      <c r="D897" t="s">
        <v>2406</v>
      </c>
      <c r="E897" s="5">
        <v>3</v>
      </c>
      <c r="F897" s="5">
        <v>154.63999999999999</v>
      </c>
      <c r="G897" s="6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5">
        <v>463.92</v>
      </c>
    </row>
    <row r="898" spans="1:14" x14ac:dyDescent="0.2">
      <c r="A898" t="s">
        <v>910</v>
      </c>
      <c r="B898" s="5" t="s">
        <v>4461</v>
      </c>
      <c r="C898" s="6" t="s">
        <v>2106</v>
      </c>
      <c r="D898" t="s">
        <v>2409</v>
      </c>
      <c r="E898" s="5">
        <v>3</v>
      </c>
      <c r="F898" s="5">
        <v>147.29</v>
      </c>
      <c r="G898" s="6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5">
        <v>441.87</v>
      </c>
    </row>
    <row r="899" spans="1:14" x14ac:dyDescent="0.2">
      <c r="A899" t="s">
        <v>911</v>
      </c>
      <c r="B899" s="4">
        <v>45360</v>
      </c>
      <c r="C899" s="6" t="s">
        <v>2107</v>
      </c>
      <c r="D899" t="s">
        <v>2408</v>
      </c>
      <c r="E899" s="5">
        <v>4</v>
      </c>
      <c r="F899" s="5">
        <v>481.48</v>
      </c>
      <c r="G899" s="6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7">
        <v>1925.92</v>
      </c>
    </row>
    <row r="900" spans="1:14" x14ac:dyDescent="0.2">
      <c r="A900" t="s">
        <v>912</v>
      </c>
      <c r="B900" s="4">
        <v>45780</v>
      </c>
      <c r="C900" s="6" t="s">
        <v>2108</v>
      </c>
      <c r="D900" t="s">
        <v>2403</v>
      </c>
      <c r="E900" s="5">
        <v>3</v>
      </c>
      <c r="F900" s="5">
        <v>158.37</v>
      </c>
      <c r="G900" s="6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4299</v>
      </c>
      <c r="M900" t="s">
        <v>4279</v>
      </c>
      <c r="N900" s="5">
        <v>475.11</v>
      </c>
    </row>
    <row r="901" spans="1:14" x14ac:dyDescent="0.2">
      <c r="A901" t="s">
        <v>913</v>
      </c>
      <c r="B901" s="5" t="s">
        <v>4643</v>
      </c>
      <c r="C901" s="6" t="s">
        <v>2109</v>
      </c>
      <c r="D901" t="s">
        <v>2407</v>
      </c>
      <c r="E901" s="5">
        <v>2</v>
      </c>
      <c r="F901" s="5">
        <v>323.37</v>
      </c>
      <c r="G901" s="6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5">
        <v>646.74</v>
      </c>
    </row>
    <row r="902" spans="1:14" x14ac:dyDescent="0.2">
      <c r="A902" t="s">
        <v>914</v>
      </c>
      <c r="B902" s="4">
        <v>45840</v>
      </c>
      <c r="C902" s="6" t="s">
        <v>2110</v>
      </c>
      <c r="D902" t="s">
        <v>2408</v>
      </c>
      <c r="E902" s="5">
        <v>5</v>
      </c>
      <c r="F902" s="5">
        <v>73.83</v>
      </c>
      <c r="G902" s="6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4299</v>
      </c>
      <c r="M902" t="s">
        <v>4278</v>
      </c>
      <c r="N902" s="5">
        <v>369.15</v>
      </c>
    </row>
    <row r="903" spans="1:14" x14ac:dyDescent="0.2">
      <c r="A903" t="s">
        <v>915</v>
      </c>
      <c r="B903" s="5" t="s">
        <v>4644</v>
      </c>
      <c r="C903" s="6" t="s">
        <v>2111</v>
      </c>
      <c r="D903" t="s">
        <v>2405</v>
      </c>
      <c r="E903" s="5">
        <v>1</v>
      </c>
      <c r="F903" s="5">
        <v>458.63</v>
      </c>
      <c r="G903" s="6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5">
        <v>458.63</v>
      </c>
    </row>
    <row r="904" spans="1:14" x14ac:dyDescent="0.2">
      <c r="A904" t="s">
        <v>916</v>
      </c>
      <c r="B904" s="5" t="s">
        <v>4645</v>
      </c>
      <c r="C904" s="6" t="s">
        <v>2112</v>
      </c>
      <c r="D904" t="s">
        <v>2403</v>
      </c>
      <c r="E904" s="5">
        <v>4</v>
      </c>
      <c r="F904" s="5">
        <v>180.25</v>
      </c>
      <c r="G904" s="6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4299</v>
      </c>
      <c r="M904" t="s">
        <v>4281</v>
      </c>
      <c r="N904" s="5">
        <v>721</v>
      </c>
    </row>
    <row r="905" spans="1:14" x14ac:dyDescent="0.2">
      <c r="A905" t="s">
        <v>917</v>
      </c>
      <c r="B905" s="5" t="s">
        <v>4424</v>
      </c>
      <c r="C905" s="6" t="s">
        <v>2113</v>
      </c>
      <c r="D905" t="s">
        <v>2403</v>
      </c>
      <c r="E905" s="5">
        <v>3</v>
      </c>
      <c r="F905" s="5">
        <v>473.49</v>
      </c>
      <c r="G905" s="6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4299</v>
      </c>
      <c r="M905" t="s">
        <v>4280</v>
      </c>
      <c r="N905" s="7">
        <v>1420.47</v>
      </c>
    </row>
    <row r="906" spans="1:14" x14ac:dyDescent="0.2">
      <c r="A906" t="s">
        <v>918</v>
      </c>
      <c r="B906" s="4">
        <v>45779</v>
      </c>
      <c r="C906" s="6" t="s">
        <v>2114</v>
      </c>
      <c r="D906" t="s">
        <v>2403</v>
      </c>
      <c r="E906" s="5">
        <v>4</v>
      </c>
      <c r="F906" s="5">
        <v>237.43</v>
      </c>
      <c r="G906" s="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5">
        <v>949.72</v>
      </c>
    </row>
    <row r="907" spans="1:14" x14ac:dyDescent="0.2">
      <c r="A907" t="s">
        <v>919</v>
      </c>
      <c r="B907" s="5" t="s">
        <v>4646</v>
      </c>
      <c r="C907" s="6" t="s">
        <v>2115</v>
      </c>
      <c r="D907" t="s">
        <v>2408</v>
      </c>
      <c r="E907" s="5">
        <v>1</v>
      </c>
      <c r="F907" s="5">
        <v>442.39</v>
      </c>
      <c r="G907" s="6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5">
        <v>442.39</v>
      </c>
    </row>
    <row r="908" spans="1:14" x14ac:dyDescent="0.2">
      <c r="A908" t="s">
        <v>920</v>
      </c>
      <c r="B908" s="4">
        <v>45360</v>
      </c>
      <c r="C908" s="6" t="s">
        <v>2116</v>
      </c>
      <c r="D908" t="s">
        <v>2403</v>
      </c>
      <c r="E908" s="5">
        <v>1</v>
      </c>
      <c r="F908" s="5">
        <v>62.12</v>
      </c>
      <c r="G908" s="6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4299</v>
      </c>
      <c r="M908" t="s">
        <v>4280</v>
      </c>
      <c r="N908" s="5">
        <v>62.12</v>
      </c>
    </row>
    <row r="909" spans="1:14" x14ac:dyDescent="0.2">
      <c r="A909" t="s">
        <v>921</v>
      </c>
      <c r="B909" s="4">
        <v>45390</v>
      </c>
      <c r="C909" s="6" t="s">
        <v>2117</v>
      </c>
      <c r="D909" t="s">
        <v>2409</v>
      </c>
      <c r="E909" s="5">
        <v>5</v>
      </c>
      <c r="F909" s="5">
        <v>298.39</v>
      </c>
      <c r="G909" s="6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7">
        <v>1491.95</v>
      </c>
    </row>
    <row r="910" spans="1:14" x14ac:dyDescent="0.2">
      <c r="A910" t="s">
        <v>922</v>
      </c>
      <c r="B910" s="4">
        <v>45813</v>
      </c>
      <c r="C910" s="6" t="s">
        <v>2118</v>
      </c>
      <c r="D910" t="s">
        <v>2409</v>
      </c>
      <c r="E910" s="5">
        <v>2</v>
      </c>
      <c r="F910" s="5">
        <v>697.93</v>
      </c>
      <c r="G910" s="6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7">
        <v>1395.86</v>
      </c>
    </row>
    <row r="911" spans="1:14" x14ac:dyDescent="0.2">
      <c r="A911" t="s">
        <v>923</v>
      </c>
      <c r="B911" s="5" t="s">
        <v>4647</v>
      </c>
      <c r="C911" s="6" t="s">
        <v>2119</v>
      </c>
      <c r="D911" t="s">
        <v>2405</v>
      </c>
      <c r="E911" s="5">
        <v>2</v>
      </c>
      <c r="F911" s="5">
        <v>291.85000000000002</v>
      </c>
      <c r="G911" s="6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5">
        <v>583.70000000000005</v>
      </c>
    </row>
    <row r="912" spans="1:14" x14ac:dyDescent="0.2">
      <c r="A912" t="s">
        <v>924</v>
      </c>
      <c r="B912" s="5" t="s">
        <v>4648</v>
      </c>
      <c r="C912" s="6" t="s">
        <v>2120</v>
      </c>
      <c r="D912" t="s">
        <v>2407</v>
      </c>
      <c r="E912" s="5">
        <v>3</v>
      </c>
      <c r="F912" s="5">
        <v>308.98</v>
      </c>
      <c r="G912" s="6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5">
        <v>926.94</v>
      </c>
    </row>
    <row r="913" spans="1:14" x14ac:dyDescent="0.2">
      <c r="A913" t="s">
        <v>925</v>
      </c>
      <c r="B913" s="5" t="s">
        <v>4649</v>
      </c>
      <c r="C913" s="6" t="s">
        <v>2121</v>
      </c>
      <c r="D913" t="s">
        <v>2409</v>
      </c>
      <c r="E913" s="5">
        <v>5</v>
      </c>
      <c r="F913" s="5">
        <v>396.86</v>
      </c>
      <c r="G913" s="6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7">
        <v>1984.3</v>
      </c>
    </row>
    <row r="914" spans="1:14" x14ac:dyDescent="0.2">
      <c r="A914" t="s">
        <v>926</v>
      </c>
      <c r="B914" s="5" t="s">
        <v>4650</v>
      </c>
      <c r="C914" s="6" t="s">
        <v>2122</v>
      </c>
      <c r="D914" t="s">
        <v>2409</v>
      </c>
      <c r="E914" s="5">
        <v>2</v>
      </c>
      <c r="F914" s="5">
        <v>139.69</v>
      </c>
      <c r="G914" s="6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5">
        <v>279.38</v>
      </c>
    </row>
    <row r="915" spans="1:14" x14ac:dyDescent="0.2">
      <c r="A915" t="s">
        <v>927</v>
      </c>
      <c r="B915" s="5" t="s">
        <v>4433</v>
      </c>
      <c r="C915" s="6" t="s">
        <v>2123</v>
      </c>
      <c r="D915" t="s">
        <v>2407</v>
      </c>
      <c r="E915" s="5">
        <v>5</v>
      </c>
      <c r="F915" s="5">
        <v>475.95</v>
      </c>
      <c r="G915" s="6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7">
        <v>2379.75</v>
      </c>
    </row>
    <row r="916" spans="1:14" x14ac:dyDescent="0.2">
      <c r="A916" t="s">
        <v>928</v>
      </c>
      <c r="B916" s="4">
        <v>45932</v>
      </c>
      <c r="C916" s="6" t="s">
        <v>2124</v>
      </c>
      <c r="D916" t="s">
        <v>2409</v>
      </c>
      <c r="E916" s="5">
        <v>1</v>
      </c>
      <c r="F916" s="5">
        <v>626.6</v>
      </c>
      <c r="G916" s="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5">
        <v>626.6</v>
      </c>
    </row>
    <row r="917" spans="1:14" x14ac:dyDescent="0.2">
      <c r="A917" t="s">
        <v>929</v>
      </c>
      <c r="B917" s="5" t="s">
        <v>4651</v>
      </c>
      <c r="C917" s="6" t="s">
        <v>2125</v>
      </c>
      <c r="D917" t="s">
        <v>2408</v>
      </c>
      <c r="E917" s="5">
        <v>4</v>
      </c>
      <c r="F917" s="5">
        <v>502.99</v>
      </c>
      <c r="G917" s="6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7">
        <v>2011.96</v>
      </c>
    </row>
    <row r="918" spans="1:14" x14ac:dyDescent="0.2">
      <c r="A918" t="s">
        <v>930</v>
      </c>
      <c r="B918" s="5" t="s">
        <v>4652</v>
      </c>
      <c r="C918" s="6" t="s">
        <v>2126</v>
      </c>
      <c r="D918" t="s">
        <v>2407</v>
      </c>
      <c r="E918" s="5">
        <v>5</v>
      </c>
      <c r="F918" s="5">
        <v>578.83000000000004</v>
      </c>
      <c r="G918" s="6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4299</v>
      </c>
      <c r="M918" t="s">
        <v>4279</v>
      </c>
      <c r="N918" s="7">
        <v>2894.15</v>
      </c>
    </row>
    <row r="919" spans="1:14" x14ac:dyDescent="0.2">
      <c r="A919" t="s">
        <v>931</v>
      </c>
      <c r="B919" s="5" t="s">
        <v>4653</v>
      </c>
      <c r="C919" s="6" t="s">
        <v>2127</v>
      </c>
      <c r="D919" t="s">
        <v>2408</v>
      </c>
      <c r="E919" s="5">
        <v>5</v>
      </c>
      <c r="F919" s="5">
        <v>383.82</v>
      </c>
      <c r="G919" s="6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7">
        <v>1919.1</v>
      </c>
    </row>
    <row r="920" spans="1:14" x14ac:dyDescent="0.2">
      <c r="A920" t="s">
        <v>932</v>
      </c>
      <c r="B920" s="5" t="s">
        <v>4331</v>
      </c>
      <c r="C920" s="6" t="s">
        <v>2128</v>
      </c>
      <c r="D920" t="s">
        <v>2408</v>
      </c>
      <c r="E920" s="5">
        <v>5</v>
      </c>
      <c r="F920" s="5">
        <v>368.25</v>
      </c>
      <c r="G920" s="6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4299</v>
      </c>
      <c r="M920" t="s">
        <v>4278</v>
      </c>
      <c r="N920" s="7">
        <v>1841.25</v>
      </c>
    </row>
    <row r="921" spans="1:14" x14ac:dyDescent="0.2">
      <c r="A921" t="s">
        <v>933</v>
      </c>
      <c r="B921" s="4">
        <v>45840</v>
      </c>
      <c r="C921" s="6" t="s">
        <v>2129</v>
      </c>
      <c r="D921" t="s">
        <v>2407</v>
      </c>
      <c r="E921" s="5">
        <v>2</v>
      </c>
      <c r="F921" s="5">
        <v>374.6</v>
      </c>
      <c r="G921" s="6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5">
        <v>749.2</v>
      </c>
    </row>
    <row r="922" spans="1:14" x14ac:dyDescent="0.2">
      <c r="A922" t="s">
        <v>934</v>
      </c>
      <c r="B922" s="4">
        <v>45994</v>
      </c>
      <c r="C922" s="6" t="s">
        <v>2130</v>
      </c>
      <c r="D922" t="s">
        <v>2405</v>
      </c>
      <c r="E922" s="5">
        <v>2</v>
      </c>
      <c r="F922" s="5">
        <v>428.09</v>
      </c>
      <c r="G922" s="6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4299</v>
      </c>
      <c r="M922" t="s">
        <v>4278</v>
      </c>
      <c r="N922" s="5">
        <v>856.18</v>
      </c>
    </row>
    <row r="923" spans="1:14" x14ac:dyDescent="0.2">
      <c r="A923" t="s">
        <v>935</v>
      </c>
      <c r="B923" s="5" t="s">
        <v>4612</v>
      </c>
      <c r="C923" s="6" t="s">
        <v>2131</v>
      </c>
      <c r="D923" t="s">
        <v>2405</v>
      </c>
      <c r="E923" s="5">
        <v>1</v>
      </c>
      <c r="F923" s="5">
        <v>438.93</v>
      </c>
      <c r="G923" s="6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5">
        <v>438.93</v>
      </c>
    </row>
    <row r="924" spans="1:14" x14ac:dyDescent="0.2">
      <c r="A924" t="s">
        <v>936</v>
      </c>
      <c r="B924" s="5" t="s">
        <v>4654</v>
      </c>
      <c r="C924" s="6" t="s">
        <v>2132</v>
      </c>
      <c r="D924" t="s">
        <v>2409</v>
      </c>
      <c r="E924" s="5">
        <v>2</v>
      </c>
      <c r="F924" s="5">
        <v>563.82000000000005</v>
      </c>
      <c r="G924" s="6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4299</v>
      </c>
      <c r="M924" t="s">
        <v>4278</v>
      </c>
      <c r="N924" s="7">
        <v>1127.6400000000001</v>
      </c>
    </row>
    <row r="925" spans="1:14" x14ac:dyDescent="0.2">
      <c r="A925" t="s">
        <v>937</v>
      </c>
      <c r="B925" s="4">
        <v>45232</v>
      </c>
      <c r="C925" s="6" t="s">
        <v>2133</v>
      </c>
      <c r="D925" t="s">
        <v>2407</v>
      </c>
      <c r="E925" s="5">
        <v>3</v>
      </c>
      <c r="F925" s="5">
        <v>649.92999999999995</v>
      </c>
      <c r="G925" s="6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7">
        <v>1949.79</v>
      </c>
    </row>
    <row r="926" spans="1:14" x14ac:dyDescent="0.2">
      <c r="A926" t="s">
        <v>938</v>
      </c>
      <c r="B926" s="5" t="s">
        <v>4316</v>
      </c>
      <c r="C926" s="6" t="s">
        <v>2134</v>
      </c>
      <c r="D926" t="s">
        <v>2407</v>
      </c>
      <c r="E926" s="5">
        <v>5</v>
      </c>
      <c r="F926" s="5">
        <v>268.43</v>
      </c>
      <c r="G926" s="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7">
        <v>1342.15</v>
      </c>
    </row>
    <row r="927" spans="1:14" x14ac:dyDescent="0.2">
      <c r="A927" t="s">
        <v>939</v>
      </c>
      <c r="B927" s="5" t="s">
        <v>4655</v>
      </c>
      <c r="C927" s="6" t="s">
        <v>2135</v>
      </c>
      <c r="D927" t="s">
        <v>2403</v>
      </c>
      <c r="E927" s="5">
        <v>5</v>
      </c>
      <c r="F927" s="5">
        <v>502.47</v>
      </c>
      <c r="G927" s="6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7">
        <v>2512.35</v>
      </c>
    </row>
    <row r="928" spans="1:14" x14ac:dyDescent="0.2">
      <c r="A928" t="s">
        <v>940</v>
      </c>
      <c r="B928" s="5" t="s">
        <v>4656</v>
      </c>
      <c r="C928" s="6" t="s">
        <v>2136</v>
      </c>
      <c r="D928" t="s">
        <v>2409</v>
      </c>
      <c r="E928" s="5">
        <v>1</v>
      </c>
      <c r="F928" s="5">
        <v>26.95</v>
      </c>
      <c r="G928" s="6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5">
        <v>26.95</v>
      </c>
    </row>
    <row r="929" spans="1:14" x14ac:dyDescent="0.2">
      <c r="A929" t="s">
        <v>941</v>
      </c>
      <c r="B929" s="5" t="s">
        <v>4657</v>
      </c>
      <c r="C929" s="6" t="s">
        <v>2137</v>
      </c>
      <c r="D929" t="s">
        <v>2408</v>
      </c>
      <c r="E929" s="5">
        <v>4</v>
      </c>
      <c r="F929" s="5">
        <v>64.69</v>
      </c>
      <c r="G929" s="6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5">
        <v>258.76</v>
      </c>
    </row>
    <row r="930" spans="1:14" x14ac:dyDescent="0.2">
      <c r="A930" t="s">
        <v>942</v>
      </c>
      <c r="B930" s="4">
        <v>45540</v>
      </c>
      <c r="C930" s="6" t="s">
        <v>2138</v>
      </c>
      <c r="D930" t="s">
        <v>2408</v>
      </c>
      <c r="E930" s="5">
        <v>3</v>
      </c>
      <c r="F930" s="5">
        <v>247.11</v>
      </c>
      <c r="G930" s="6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5">
        <v>741.33</v>
      </c>
    </row>
    <row r="931" spans="1:14" x14ac:dyDescent="0.2">
      <c r="A931" t="s">
        <v>943</v>
      </c>
      <c r="B931" s="5" t="s">
        <v>4658</v>
      </c>
      <c r="C931" s="6" t="s">
        <v>2139</v>
      </c>
      <c r="D931" t="s">
        <v>2405</v>
      </c>
      <c r="E931" s="5">
        <v>2</v>
      </c>
      <c r="F931" s="5">
        <v>536.25</v>
      </c>
      <c r="G931" s="6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4299</v>
      </c>
      <c r="M931" t="s">
        <v>4280</v>
      </c>
      <c r="N931" s="7">
        <v>1072.5</v>
      </c>
    </row>
    <row r="932" spans="1:14" x14ac:dyDescent="0.2">
      <c r="A932" t="s">
        <v>944</v>
      </c>
      <c r="B932" s="5" t="s">
        <v>4533</v>
      </c>
      <c r="C932" s="6" t="s">
        <v>2140</v>
      </c>
      <c r="D932" t="s">
        <v>2404</v>
      </c>
      <c r="E932" s="5">
        <v>2</v>
      </c>
      <c r="F932" s="5">
        <v>456.04</v>
      </c>
      <c r="G932" s="6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5">
        <v>912.08</v>
      </c>
    </row>
    <row r="933" spans="1:14" x14ac:dyDescent="0.2">
      <c r="A933" t="s">
        <v>945</v>
      </c>
      <c r="B933" s="4">
        <v>45292</v>
      </c>
      <c r="C933" s="6" t="s">
        <v>2141</v>
      </c>
      <c r="D933" t="s">
        <v>2407</v>
      </c>
      <c r="E933" s="5">
        <v>2</v>
      </c>
      <c r="F933" s="5">
        <v>40.229999999999997</v>
      </c>
      <c r="G933" s="6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5">
        <v>80.459999999999994</v>
      </c>
    </row>
    <row r="934" spans="1:14" x14ac:dyDescent="0.2">
      <c r="A934" t="s">
        <v>946</v>
      </c>
      <c r="B934" s="5" t="s">
        <v>4573</v>
      </c>
      <c r="C934" s="6" t="s">
        <v>2142</v>
      </c>
      <c r="D934" t="s">
        <v>2408</v>
      </c>
      <c r="E934" s="5">
        <v>2</v>
      </c>
      <c r="F934" s="5">
        <v>72.39</v>
      </c>
      <c r="G934" s="6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5">
        <v>144.78</v>
      </c>
    </row>
    <row r="935" spans="1:14" x14ac:dyDescent="0.2">
      <c r="A935" t="s">
        <v>947</v>
      </c>
      <c r="B935" s="5" t="s">
        <v>4659</v>
      </c>
      <c r="C935" s="6" t="s">
        <v>2143</v>
      </c>
      <c r="D935" t="s">
        <v>2403</v>
      </c>
      <c r="E935" s="5">
        <v>2</v>
      </c>
      <c r="F935" s="5">
        <v>394.16</v>
      </c>
      <c r="G935" s="6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4299</v>
      </c>
      <c r="M935" t="s">
        <v>4279</v>
      </c>
      <c r="N935" s="5">
        <v>788.32</v>
      </c>
    </row>
    <row r="936" spans="1:14" x14ac:dyDescent="0.2">
      <c r="A936" t="s">
        <v>948</v>
      </c>
      <c r="B936" s="4">
        <v>45663</v>
      </c>
      <c r="C936" s="6" t="s">
        <v>2144</v>
      </c>
      <c r="D936" t="s">
        <v>2408</v>
      </c>
      <c r="E936" s="5">
        <v>4</v>
      </c>
      <c r="F936" s="5">
        <v>119.84</v>
      </c>
      <c r="G936" s="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5">
        <v>479.36</v>
      </c>
    </row>
    <row r="937" spans="1:14" x14ac:dyDescent="0.2">
      <c r="A937" t="s">
        <v>949</v>
      </c>
      <c r="B937" s="5" t="s">
        <v>4454</v>
      </c>
      <c r="C937" s="6" t="s">
        <v>2145</v>
      </c>
      <c r="D937" t="s">
        <v>2404</v>
      </c>
      <c r="E937" s="5">
        <v>3</v>
      </c>
      <c r="F937" s="5">
        <v>692.71</v>
      </c>
      <c r="G937" s="6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7">
        <v>2078.13</v>
      </c>
    </row>
    <row r="938" spans="1:14" x14ac:dyDescent="0.2">
      <c r="A938" t="s">
        <v>950</v>
      </c>
      <c r="B938" s="4">
        <v>45627</v>
      </c>
      <c r="C938" s="6" t="s">
        <v>2146</v>
      </c>
      <c r="D938" t="s">
        <v>2406</v>
      </c>
      <c r="E938" s="5">
        <v>4</v>
      </c>
      <c r="F938" s="5">
        <v>56.66</v>
      </c>
      <c r="G938" s="6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5">
        <v>226.64</v>
      </c>
    </row>
    <row r="939" spans="1:14" x14ac:dyDescent="0.2">
      <c r="A939" t="s">
        <v>951</v>
      </c>
      <c r="B939" s="5" t="s">
        <v>4571</v>
      </c>
      <c r="C939" s="6" t="s">
        <v>2147</v>
      </c>
      <c r="D939" t="s">
        <v>2406</v>
      </c>
      <c r="E939" s="5">
        <v>2</v>
      </c>
      <c r="F939" s="5">
        <v>298.52999999999997</v>
      </c>
      <c r="G939" s="6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5">
        <v>597.05999999999995</v>
      </c>
    </row>
    <row r="940" spans="1:14" x14ac:dyDescent="0.2">
      <c r="A940" t="s">
        <v>952</v>
      </c>
      <c r="B940" s="4">
        <v>45267</v>
      </c>
      <c r="C940" s="6" t="s">
        <v>2148</v>
      </c>
      <c r="D940" t="s">
        <v>2406</v>
      </c>
      <c r="E940" s="5">
        <v>3</v>
      </c>
      <c r="F940" s="5">
        <v>331.46</v>
      </c>
      <c r="G940" s="6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5">
        <v>994.38</v>
      </c>
    </row>
    <row r="941" spans="1:14" x14ac:dyDescent="0.2">
      <c r="A941" t="s">
        <v>953</v>
      </c>
      <c r="B941" s="5" t="s">
        <v>4660</v>
      </c>
      <c r="C941" s="6" t="s">
        <v>2149</v>
      </c>
      <c r="D941" t="s">
        <v>2408</v>
      </c>
      <c r="E941" s="5">
        <v>2</v>
      </c>
      <c r="F941" s="5">
        <v>521.4</v>
      </c>
      <c r="G941" s="6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7">
        <v>1042.8</v>
      </c>
    </row>
    <row r="942" spans="1:14" x14ac:dyDescent="0.2">
      <c r="A942" t="s">
        <v>954</v>
      </c>
      <c r="B942" s="5" t="s">
        <v>4305</v>
      </c>
      <c r="C942" s="6" t="s">
        <v>2150</v>
      </c>
      <c r="D942" t="s">
        <v>2407</v>
      </c>
      <c r="E942" s="5">
        <v>4</v>
      </c>
      <c r="F942" s="5">
        <v>305.32</v>
      </c>
      <c r="G942" s="6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7">
        <v>1221.28</v>
      </c>
    </row>
    <row r="943" spans="1:14" x14ac:dyDescent="0.2">
      <c r="A943" t="s">
        <v>955</v>
      </c>
      <c r="B943" s="5" t="s">
        <v>4306</v>
      </c>
      <c r="C943" s="6" t="s">
        <v>1653</v>
      </c>
      <c r="D943" t="s">
        <v>2407</v>
      </c>
      <c r="E943" s="5">
        <v>5</v>
      </c>
      <c r="F943" s="5">
        <v>111.7</v>
      </c>
      <c r="G943" s="6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5">
        <v>558.5</v>
      </c>
    </row>
    <row r="944" spans="1:14" x14ac:dyDescent="0.2">
      <c r="A944" t="s">
        <v>956</v>
      </c>
      <c r="B944" s="5" t="s">
        <v>4520</v>
      </c>
      <c r="C944" s="6" t="s">
        <v>2151</v>
      </c>
      <c r="D944" t="s">
        <v>2405</v>
      </c>
      <c r="E944" s="5">
        <v>1</v>
      </c>
      <c r="F944" s="5">
        <v>479.76</v>
      </c>
      <c r="G944" s="6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4299</v>
      </c>
      <c r="M944" t="s">
        <v>4280</v>
      </c>
      <c r="N944" s="5">
        <v>479.76</v>
      </c>
    </row>
    <row r="945" spans="1:14" x14ac:dyDescent="0.2">
      <c r="A945" t="s">
        <v>957</v>
      </c>
      <c r="B945" s="5" t="s">
        <v>4384</v>
      </c>
      <c r="C945" s="6" t="s">
        <v>2152</v>
      </c>
      <c r="D945" t="s">
        <v>2403</v>
      </c>
      <c r="E945" s="5">
        <v>3</v>
      </c>
      <c r="F945" s="5">
        <v>193.49</v>
      </c>
      <c r="G945" s="6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5">
        <v>580.47</v>
      </c>
    </row>
    <row r="946" spans="1:14" x14ac:dyDescent="0.2">
      <c r="A946" t="s">
        <v>958</v>
      </c>
      <c r="B946" s="5" t="s">
        <v>4533</v>
      </c>
      <c r="C946" s="6" t="s">
        <v>2153</v>
      </c>
      <c r="D946" t="s">
        <v>2408</v>
      </c>
      <c r="E946" s="5">
        <v>2</v>
      </c>
      <c r="F946" s="5">
        <v>426.22</v>
      </c>
      <c r="G946" s="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5">
        <v>852.44</v>
      </c>
    </row>
    <row r="947" spans="1:14" x14ac:dyDescent="0.2">
      <c r="A947" t="s">
        <v>959</v>
      </c>
      <c r="B947" s="5" t="s">
        <v>4321</v>
      </c>
      <c r="C947" s="6" t="s">
        <v>2154</v>
      </c>
      <c r="D947" t="s">
        <v>2405</v>
      </c>
      <c r="E947" s="5">
        <v>5</v>
      </c>
      <c r="F947" s="5">
        <v>276.44</v>
      </c>
      <c r="G947" s="6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7">
        <v>1382.2</v>
      </c>
    </row>
    <row r="948" spans="1:14" x14ac:dyDescent="0.2">
      <c r="A948" t="s">
        <v>960</v>
      </c>
      <c r="B948" s="4">
        <v>45387</v>
      </c>
      <c r="C948" s="6" t="s">
        <v>2155</v>
      </c>
      <c r="D948" t="s">
        <v>2404</v>
      </c>
      <c r="E948" s="5">
        <v>2</v>
      </c>
      <c r="F948" s="5">
        <v>404.96</v>
      </c>
      <c r="G948" s="6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5">
        <v>809.92</v>
      </c>
    </row>
    <row r="949" spans="1:14" x14ac:dyDescent="0.2">
      <c r="A949" t="s">
        <v>961</v>
      </c>
      <c r="B949" s="4">
        <v>45116</v>
      </c>
      <c r="C949" s="6" t="s">
        <v>2156</v>
      </c>
      <c r="D949" t="s">
        <v>2404</v>
      </c>
      <c r="E949" s="5">
        <v>4</v>
      </c>
      <c r="F949" s="5">
        <v>465.66</v>
      </c>
      <c r="G949" s="6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7">
        <v>1862.64</v>
      </c>
    </row>
    <row r="950" spans="1:14" x14ac:dyDescent="0.2">
      <c r="A950" t="s">
        <v>962</v>
      </c>
      <c r="B950" s="5" t="s">
        <v>4652</v>
      </c>
      <c r="C950" s="6" t="s">
        <v>1659</v>
      </c>
      <c r="D950" t="s">
        <v>2404</v>
      </c>
      <c r="E950" s="5">
        <v>2</v>
      </c>
      <c r="F950" s="5">
        <v>594.07000000000005</v>
      </c>
      <c r="G950" s="6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4299</v>
      </c>
      <c r="M950" t="s">
        <v>4282</v>
      </c>
      <c r="N950" s="7">
        <v>1188.1400000000001</v>
      </c>
    </row>
    <row r="951" spans="1:14" x14ac:dyDescent="0.2">
      <c r="A951" t="s">
        <v>963</v>
      </c>
      <c r="B951" s="4">
        <v>45180</v>
      </c>
      <c r="C951" s="6" t="s">
        <v>2157</v>
      </c>
      <c r="D951" t="s">
        <v>2409</v>
      </c>
      <c r="E951" s="5">
        <v>5</v>
      </c>
      <c r="F951" s="5">
        <v>110.38</v>
      </c>
      <c r="G951" s="6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4299</v>
      </c>
      <c r="M951" t="s">
        <v>4279</v>
      </c>
      <c r="N951" s="5">
        <v>551.9</v>
      </c>
    </row>
    <row r="952" spans="1:14" x14ac:dyDescent="0.2">
      <c r="A952" t="s">
        <v>964</v>
      </c>
      <c r="B952" s="5" t="s">
        <v>4648</v>
      </c>
      <c r="C952" s="6" t="s">
        <v>2158</v>
      </c>
      <c r="D952" t="s">
        <v>2408</v>
      </c>
      <c r="E952" s="5">
        <v>1</v>
      </c>
      <c r="F952" s="5">
        <v>596.24</v>
      </c>
      <c r="G952" s="6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5">
        <v>596.24</v>
      </c>
    </row>
    <row r="953" spans="1:14" x14ac:dyDescent="0.2">
      <c r="A953" t="s">
        <v>965</v>
      </c>
      <c r="B953" s="5" t="s">
        <v>4486</v>
      </c>
      <c r="C953" s="6" t="s">
        <v>2159</v>
      </c>
      <c r="D953" t="s">
        <v>2407</v>
      </c>
      <c r="E953" s="5">
        <v>2</v>
      </c>
      <c r="F953" s="5">
        <v>306.24</v>
      </c>
      <c r="G953" s="6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5">
        <v>612.48</v>
      </c>
    </row>
    <row r="954" spans="1:14" x14ac:dyDescent="0.2">
      <c r="A954" t="s">
        <v>966</v>
      </c>
      <c r="B954" s="5" t="s">
        <v>4320</v>
      </c>
      <c r="C954" s="6" t="s">
        <v>2160</v>
      </c>
      <c r="D954" t="s">
        <v>2403</v>
      </c>
      <c r="E954" s="5">
        <v>3</v>
      </c>
      <c r="F954" s="5">
        <v>503.39</v>
      </c>
      <c r="G954" s="6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4299</v>
      </c>
      <c r="M954" t="s">
        <v>4281</v>
      </c>
      <c r="N954" s="7">
        <v>1510.17</v>
      </c>
    </row>
    <row r="955" spans="1:14" x14ac:dyDescent="0.2">
      <c r="A955" t="s">
        <v>967</v>
      </c>
      <c r="B955" s="4">
        <v>45079</v>
      </c>
      <c r="C955" s="6" t="s">
        <v>2161</v>
      </c>
      <c r="D955" t="s">
        <v>2404</v>
      </c>
      <c r="E955" s="5">
        <v>1</v>
      </c>
      <c r="F955" s="5">
        <v>131.61000000000001</v>
      </c>
      <c r="G955" s="6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5">
        <v>131.61000000000001</v>
      </c>
    </row>
    <row r="956" spans="1:14" x14ac:dyDescent="0.2">
      <c r="A956" t="s">
        <v>968</v>
      </c>
      <c r="B956" s="5" t="s">
        <v>4661</v>
      </c>
      <c r="C956" s="6" t="s">
        <v>2162</v>
      </c>
      <c r="D956" t="s">
        <v>2406</v>
      </c>
      <c r="E956" s="5">
        <v>3</v>
      </c>
      <c r="F956" s="5">
        <v>443.44</v>
      </c>
      <c r="G956" s="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7">
        <v>1330.32</v>
      </c>
    </row>
    <row r="957" spans="1:14" x14ac:dyDescent="0.2">
      <c r="A957" t="s">
        <v>969</v>
      </c>
      <c r="B957" s="5" t="s">
        <v>4309</v>
      </c>
      <c r="C957" s="6" t="s">
        <v>2163</v>
      </c>
      <c r="D957" t="s">
        <v>2406</v>
      </c>
      <c r="E957" s="5">
        <v>1</v>
      </c>
      <c r="F957" s="5">
        <v>408.13</v>
      </c>
      <c r="G957" s="6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5">
        <v>408.13</v>
      </c>
    </row>
    <row r="958" spans="1:14" x14ac:dyDescent="0.2">
      <c r="A958" t="s">
        <v>970</v>
      </c>
      <c r="B958" s="4">
        <v>45600</v>
      </c>
      <c r="C958" s="6" t="s">
        <v>1995</v>
      </c>
      <c r="D958" t="s">
        <v>2404</v>
      </c>
      <c r="E958" s="5">
        <v>2</v>
      </c>
      <c r="F958" s="5">
        <v>160.97999999999999</v>
      </c>
      <c r="G958" s="6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5">
        <v>321.95999999999998</v>
      </c>
    </row>
    <row r="959" spans="1:14" x14ac:dyDescent="0.2">
      <c r="A959" t="s">
        <v>971</v>
      </c>
      <c r="B959" s="4">
        <v>45261</v>
      </c>
      <c r="C959" s="6" t="s">
        <v>2164</v>
      </c>
      <c r="D959" t="s">
        <v>2403</v>
      </c>
      <c r="E959" s="5">
        <v>5</v>
      </c>
      <c r="F959" s="5">
        <v>643.89</v>
      </c>
      <c r="G959" s="6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7">
        <v>3219.45</v>
      </c>
    </row>
    <row r="960" spans="1:14" x14ac:dyDescent="0.2">
      <c r="A960" t="s">
        <v>972</v>
      </c>
      <c r="B960" s="5" t="s">
        <v>4662</v>
      </c>
      <c r="C960" s="6" t="s">
        <v>2165</v>
      </c>
      <c r="D960" t="s">
        <v>2409</v>
      </c>
      <c r="E960" s="5">
        <v>3</v>
      </c>
      <c r="F960" s="5">
        <v>158.66</v>
      </c>
      <c r="G960" s="6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5">
        <v>475.98</v>
      </c>
    </row>
    <row r="961" spans="1:14" x14ac:dyDescent="0.2">
      <c r="A961" t="s">
        <v>973</v>
      </c>
      <c r="B961" s="5" t="s">
        <v>4663</v>
      </c>
      <c r="C961" s="6" t="s">
        <v>2166</v>
      </c>
      <c r="D961" t="s">
        <v>2405</v>
      </c>
      <c r="E961" s="5">
        <v>2</v>
      </c>
      <c r="F961" s="5">
        <v>143.82</v>
      </c>
      <c r="G961" s="6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5">
        <v>287.64</v>
      </c>
    </row>
    <row r="962" spans="1:14" x14ac:dyDescent="0.2">
      <c r="A962" t="s">
        <v>974</v>
      </c>
      <c r="B962" s="4">
        <v>45242</v>
      </c>
      <c r="C962" s="6" t="s">
        <v>2167</v>
      </c>
      <c r="D962" t="s">
        <v>2408</v>
      </c>
      <c r="E962" s="5">
        <v>3</v>
      </c>
      <c r="F962" s="5">
        <v>379.07</v>
      </c>
      <c r="G962" s="6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7">
        <v>1137.21</v>
      </c>
    </row>
    <row r="963" spans="1:14" x14ac:dyDescent="0.2">
      <c r="A963" t="s">
        <v>975</v>
      </c>
      <c r="B963" s="4">
        <v>45607</v>
      </c>
      <c r="C963" s="6" t="s">
        <v>2168</v>
      </c>
      <c r="D963" t="s">
        <v>2404</v>
      </c>
      <c r="E963" s="5">
        <v>1</v>
      </c>
      <c r="F963" s="5">
        <v>601.36</v>
      </c>
      <c r="G963" s="6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4299</v>
      </c>
      <c r="M963" t="s">
        <v>4281</v>
      </c>
      <c r="N963" s="5">
        <v>601.36</v>
      </c>
    </row>
    <row r="964" spans="1:14" x14ac:dyDescent="0.2">
      <c r="A964" t="s">
        <v>976</v>
      </c>
      <c r="B964" s="4">
        <v>45452</v>
      </c>
      <c r="C964" s="6" t="s">
        <v>2169</v>
      </c>
      <c r="D964" t="s">
        <v>2404</v>
      </c>
      <c r="E964" s="5">
        <v>2</v>
      </c>
      <c r="F964" s="5">
        <v>142.08000000000001</v>
      </c>
      <c r="G964" s="6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5">
        <v>284.16000000000003</v>
      </c>
    </row>
    <row r="965" spans="1:14" x14ac:dyDescent="0.2">
      <c r="A965" t="s">
        <v>977</v>
      </c>
      <c r="B965" s="4">
        <v>45599</v>
      </c>
      <c r="C965" s="6" t="s">
        <v>2170</v>
      </c>
      <c r="D965" t="s">
        <v>2406</v>
      </c>
      <c r="E965" s="5">
        <v>5</v>
      </c>
      <c r="F965" s="5">
        <v>530.34</v>
      </c>
      <c r="G965" s="6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7">
        <v>2651.7</v>
      </c>
    </row>
    <row r="966" spans="1:14" x14ac:dyDescent="0.2">
      <c r="A966" t="s">
        <v>978</v>
      </c>
      <c r="B966" s="5" t="s">
        <v>4321</v>
      </c>
      <c r="C966" s="6" t="s">
        <v>2171</v>
      </c>
      <c r="D966" t="s">
        <v>2404</v>
      </c>
      <c r="E966" s="5">
        <v>5</v>
      </c>
      <c r="F966" s="5">
        <v>364.42</v>
      </c>
      <c r="G966" s="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7">
        <v>1822.1</v>
      </c>
    </row>
    <row r="967" spans="1:14" x14ac:dyDescent="0.2">
      <c r="A967" t="s">
        <v>979</v>
      </c>
      <c r="B967" s="5" t="s">
        <v>4664</v>
      </c>
      <c r="C967" s="6" t="s">
        <v>2172</v>
      </c>
      <c r="D967" t="s">
        <v>2408</v>
      </c>
      <c r="E967" s="5">
        <v>4</v>
      </c>
      <c r="F967" s="5">
        <v>578.28</v>
      </c>
      <c r="G967" s="6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7">
        <v>2313.12</v>
      </c>
    </row>
    <row r="968" spans="1:14" x14ac:dyDescent="0.2">
      <c r="A968" t="s">
        <v>980</v>
      </c>
      <c r="B968" s="5" t="s">
        <v>4665</v>
      </c>
      <c r="C968" s="6" t="s">
        <v>2173</v>
      </c>
      <c r="D968" t="s">
        <v>2403</v>
      </c>
      <c r="E968" s="5">
        <v>5</v>
      </c>
      <c r="F968" s="5">
        <v>280.52</v>
      </c>
      <c r="G968" s="6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7">
        <v>1402.6</v>
      </c>
    </row>
    <row r="969" spans="1:14" x14ac:dyDescent="0.2">
      <c r="A969" t="s">
        <v>981</v>
      </c>
      <c r="B969" s="4">
        <v>45813</v>
      </c>
      <c r="C969" s="6" t="s">
        <v>2174</v>
      </c>
      <c r="D969" t="s">
        <v>2405</v>
      </c>
      <c r="E969" s="5">
        <v>5</v>
      </c>
      <c r="F969" s="5">
        <v>638.91999999999996</v>
      </c>
      <c r="G969" s="6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7">
        <v>3194.6</v>
      </c>
    </row>
    <row r="970" spans="1:14" x14ac:dyDescent="0.2">
      <c r="A970" t="s">
        <v>982</v>
      </c>
      <c r="B970" s="4">
        <v>45506</v>
      </c>
      <c r="C970" s="6" t="s">
        <v>2175</v>
      </c>
      <c r="D970" t="s">
        <v>2403</v>
      </c>
      <c r="E970" s="5">
        <v>4</v>
      </c>
      <c r="F970" s="5">
        <v>412.2</v>
      </c>
      <c r="G970" s="6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7">
        <v>1648.8</v>
      </c>
    </row>
    <row r="971" spans="1:14" x14ac:dyDescent="0.2">
      <c r="A971" t="s">
        <v>983</v>
      </c>
      <c r="B971" s="4">
        <v>45783</v>
      </c>
      <c r="C971" s="6" t="s">
        <v>2176</v>
      </c>
      <c r="D971" t="s">
        <v>2409</v>
      </c>
      <c r="E971" s="5">
        <v>1</v>
      </c>
      <c r="F971" s="5">
        <v>440.34</v>
      </c>
      <c r="G971" s="6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5">
        <v>440.34</v>
      </c>
    </row>
    <row r="972" spans="1:14" x14ac:dyDescent="0.2">
      <c r="A972" t="s">
        <v>984</v>
      </c>
      <c r="B972" s="4">
        <v>45482</v>
      </c>
      <c r="C972" s="6" t="s">
        <v>2177</v>
      </c>
      <c r="D972" t="s">
        <v>2409</v>
      </c>
      <c r="E972" s="5">
        <v>1</v>
      </c>
      <c r="F972" s="5">
        <v>627.15</v>
      </c>
      <c r="G972" s="6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5">
        <v>627.15</v>
      </c>
    </row>
    <row r="973" spans="1:14" x14ac:dyDescent="0.2">
      <c r="A973" t="s">
        <v>985</v>
      </c>
      <c r="B973" s="5" t="s">
        <v>4647</v>
      </c>
      <c r="C973" s="6" t="s">
        <v>2178</v>
      </c>
      <c r="D973" t="s">
        <v>2403</v>
      </c>
      <c r="E973" s="5">
        <v>2</v>
      </c>
      <c r="F973" s="5">
        <v>605.26</v>
      </c>
      <c r="G973" s="6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7">
        <v>1210.52</v>
      </c>
    </row>
    <row r="974" spans="1:14" x14ac:dyDescent="0.2">
      <c r="A974" t="s">
        <v>986</v>
      </c>
      <c r="B974" s="4">
        <v>45541</v>
      </c>
      <c r="C974" s="6" t="s">
        <v>2179</v>
      </c>
      <c r="D974" t="s">
        <v>2408</v>
      </c>
      <c r="E974" s="5">
        <v>1</v>
      </c>
      <c r="F974" s="5">
        <v>90.27</v>
      </c>
      <c r="G974" s="6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5">
        <v>90.27</v>
      </c>
    </row>
    <row r="975" spans="1:14" x14ac:dyDescent="0.2">
      <c r="A975" t="s">
        <v>987</v>
      </c>
      <c r="B975" s="4">
        <v>45906</v>
      </c>
      <c r="C975" s="6" t="s">
        <v>2180</v>
      </c>
      <c r="D975" t="s">
        <v>2409</v>
      </c>
      <c r="E975" s="5">
        <v>5</v>
      </c>
      <c r="F975" s="5">
        <v>230.77</v>
      </c>
      <c r="G975" s="6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7">
        <v>1153.8499999999999</v>
      </c>
    </row>
    <row r="976" spans="1:14" x14ac:dyDescent="0.2">
      <c r="A976" t="s">
        <v>988</v>
      </c>
      <c r="B976" s="5" t="s">
        <v>4666</v>
      </c>
      <c r="C976" s="6" t="s">
        <v>2181</v>
      </c>
      <c r="D976" t="s">
        <v>2409</v>
      </c>
      <c r="E976" s="5">
        <v>5</v>
      </c>
      <c r="F976" s="5">
        <v>266.77999999999997</v>
      </c>
      <c r="G976" s="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4299</v>
      </c>
      <c r="M976" t="s">
        <v>4280</v>
      </c>
      <c r="N976" s="7">
        <v>1333.9</v>
      </c>
    </row>
    <row r="977" spans="1:14" x14ac:dyDescent="0.2">
      <c r="A977" t="s">
        <v>989</v>
      </c>
      <c r="B977" s="5" t="s">
        <v>4548</v>
      </c>
      <c r="C977" s="6" t="s">
        <v>2182</v>
      </c>
      <c r="D977" t="s">
        <v>2409</v>
      </c>
      <c r="E977" s="5">
        <v>1</v>
      </c>
      <c r="F977" s="5">
        <v>105.92</v>
      </c>
      <c r="G977" s="6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5">
        <v>105.92</v>
      </c>
    </row>
    <row r="978" spans="1:14" x14ac:dyDescent="0.2">
      <c r="A978" t="s">
        <v>990</v>
      </c>
      <c r="B978" s="4">
        <v>45386</v>
      </c>
      <c r="C978" s="6" t="s">
        <v>2183</v>
      </c>
      <c r="D978" t="s">
        <v>2405</v>
      </c>
      <c r="E978" s="5">
        <v>3</v>
      </c>
      <c r="F978" s="5">
        <v>589.29999999999995</v>
      </c>
      <c r="G978" s="6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7">
        <v>1767.9</v>
      </c>
    </row>
    <row r="979" spans="1:14" x14ac:dyDescent="0.2">
      <c r="A979" t="s">
        <v>991</v>
      </c>
      <c r="B979" s="5" t="s">
        <v>4552</v>
      </c>
      <c r="C979" s="6" t="s">
        <v>2184</v>
      </c>
      <c r="D979" t="s">
        <v>2406</v>
      </c>
      <c r="E979" s="5">
        <v>4</v>
      </c>
      <c r="F979" s="5">
        <v>649.47</v>
      </c>
      <c r="G979" s="6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7">
        <v>2597.88</v>
      </c>
    </row>
    <row r="980" spans="1:14" x14ac:dyDescent="0.2">
      <c r="A980" t="s">
        <v>992</v>
      </c>
      <c r="B980" s="5" t="s">
        <v>4667</v>
      </c>
      <c r="C980" s="6" t="s">
        <v>2185</v>
      </c>
      <c r="D980" t="s">
        <v>2407</v>
      </c>
      <c r="E980" s="5">
        <v>4</v>
      </c>
      <c r="F980" s="5">
        <v>107.49</v>
      </c>
      <c r="G980" s="6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4299</v>
      </c>
      <c r="M980" t="s">
        <v>4282</v>
      </c>
      <c r="N980" s="5">
        <v>429.96</v>
      </c>
    </row>
    <row r="981" spans="1:14" x14ac:dyDescent="0.2">
      <c r="A981" t="s">
        <v>993</v>
      </c>
      <c r="B981" s="5" t="s">
        <v>4625</v>
      </c>
      <c r="C981" s="6" t="s">
        <v>2186</v>
      </c>
      <c r="D981" t="s">
        <v>2403</v>
      </c>
      <c r="E981" s="5">
        <v>3</v>
      </c>
      <c r="F981" s="5">
        <v>669.06</v>
      </c>
      <c r="G981" s="6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7">
        <v>2007.18</v>
      </c>
    </row>
    <row r="982" spans="1:14" x14ac:dyDescent="0.2">
      <c r="A982" t="s">
        <v>994</v>
      </c>
      <c r="B982" s="5" t="s">
        <v>4668</v>
      </c>
      <c r="C982" s="6" t="s">
        <v>2187</v>
      </c>
      <c r="D982" t="s">
        <v>2406</v>
      </c>
      <c r="E982" s="5">
        <v>3</v>
      </c>
      <c r="F982" s="5">
        <v>69.650000000000006</v>
      </c>
      <c r="G982" s="6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5">
        <v>208.95</v>
      </c>
    </row>
    <row r="983" spans="1:14" x14ac:dyDescent="0.2">
      <c r="A983" t="s">
        <v>995</v>
      </c>
      <c r="B983" s="5" t="s">
        <v>4519</v>
      </c>
      <c r="C983" s="6" t="s">
        <v>2188</v>
      </c>
      <c r="D983" t="s">
        <v>2404</v>
      </c>
      <c r="E983" s="5">
        <v>4</v>
      </c>
      <c r="F983" s="5">
        <v>136.83000000000001</v>
      </c>
      <c r="G983" s="6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5">
        <v>547.32000000000005</v>
      </c>
    </row>
    <row r="984" spans="1:14" x14ac:dyDescent="0.2">
      <c r="A984" t="s">
        <v>996</v>
      </c>
      <c r="B984" s="4">
        <v>45452</v>
      </c>
      <c r="C984" s="6" t="s">
        <v>2189</v>
      </c>
      <c r="D984" t="s">
        <v>2403</v>
      </c>
      <c r="E984" s="5">
        <v>1</v>
      </c>
      <c r="F984" s="5">
        <v>304.11</v>
      </c>
      <c r="G984" s="6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5">
        <v>304.11</v>
      </c>
    </row>
    <row r="985" spans="1:14" x14ac:dyDescent="0.2">
      <c r="A985" t="s">
        <v>997</v>
      </c>
      <c r="B985" s="5" t="s">
        <v>4400</v>
      </c>
      <c r="C985" s="6" t="s">
        <v>2190</v>
      </c>
      <c r="D985" t="s">
        <v>2403</v>
      </c>
      <c r="E985" s="5">
        <v>4</v>
      </c>
      <c r="F985" s="5">
        <v>296.27999999999997</v>
      </c>
      <c r="G985" s="6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7">
        <v>1185.1199999999999</v>
      </c>
    </row>
    <row r="986" spans="1:14" x14ac:dyDescent="0.2">
      <c r="A986" t="s">
        <v>998</v>
      </c>
      <c r="B986" s="5" t="s">
        <v>4453</v>
      </c>
      <c r="C986" s="6" t="s">
        <v>2191</v>
      </c>
      <c r="D986" t="s">
        <v>2409</v>
      </c>
      <c r="E986" s="5">
        <v>1</v>
      </c>
      <c r="F986" s="5">
        <v>77.64</v>
      </c>
      <c r="G986" s="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5">
        <v>77.64</v>
      </c>
    </row>
    <row r="987" spans="1:14" x14ac:dyDescent="0.2">
      <c r="A987" t="s">
        <v>999</v>
      </c>
      <c r="B987" s="5" t="s">
        <v>4505</v>
      </c>
      <c r="C987" s="6" t="s">
        <v>2192</v>
      </c>
      <c r="D987" t="s">
        <v>2409</v>
      </c>
      <c r="E987" s="5">
        <v>1</v>
      </c>
      <c r="F987" s="5">
        <v>243.71</v>
      </c>
      <c r="G987" s="6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5">
        <v>243.71</v>
      </c>
    </row>
    <row r="988" spans="1:14" x14ac:dyDescent="0.2">
      <c r="A988" t="s">
        <v>1000</v>
      </c>
      <c r="B988" s="4">
        <v>45482</v>
      </c>
      <c r="C988" s="6" t="s">
        <v>2193</v>
      </c>
      <c r="D988" t="s">
        <v>2408</v>
      </c>
      <c r="E988" s="5">
        <v>4</v>
      </c>
      <c r="F988" s="5">
        <v>644.96</v>
      </c>
      <c r="G988" s="6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7">
        <v>2579.84</v>
      </c>
    </row>
    <row r="989" spans="1:14" x14ac:dyDescent="0.2">
      <c r="A989" t="s">
        <v>1001</v>
      </c>
      <c r="B989" s="4">
        <v>45783</v>
      </c>
      <c r="C989" s="6" t="s">
        <v>2194</v>
      </c>
      <c r="D989" t="s">
        <v>2404</v>
      </c>
      <c r="E989" s="5">
        <v>5</v>
      </c>
      <c r="F989" s="5">
        <v>283.73</v>
      </c>
      <c r="G989" s="6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7">
        <v>1418.65</v>
      </c>
    </row>
    <row r="990" spans="1:14" x14ac:dyDescent="0.2">
      <c r="A990" t="s">
        <v>1002</v>
      </c>
      <c r="B990" s="4">
        <v>45749</v>
      </c>
      <c r="C990" s="6" t="s">
        <v>2195</v>
      </c>
      <c r="D990" t="s">
        <v>2409</v>
      </c>
      <c r="E990" s="5">
        <v>2</v>
      </c>
      <c r="F990" s="5">
        <v>629.55999999999995</v>
      </c>
      <c r="G990" s="6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7">
        <v>1259.1199999999999</v>
      </c>
    </row>
    <row r="991" spans="1:14" x14ac:dyDescent="0.2">
      <c r="A991" t="s">
        <v>1003</v>
      </c>
      <c r="B991" s="5" t="s">
        <v>4669</v>
      </c>
      <c r="C991" s="6" t="s">
        <v>2196</v>
      </c>
      <c r="D991" t="s">
        <v>2408</v>
      </c>
      <c r="E991" s="5">
        <v>4</v>
      </c>
      <c r="F991" s="5">
        <v>246.11</v>
      </c>
      <c r="G991" s="6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5">
        <v>984.44</v>
      </c>
    </row>
    <row r="992" spans="1:14" x14ac:dyDescent="0.2">
      <c r="A992" t="s">
        <v>1004</v>
      </c>
      <c r="B992" s="5" t="s">
        <v>4670</v>
      </c>
      <c r="C992" s="6" t="s">
        <v>2197</v>
      </c>
      <c r="D992" t="s">
        <v>2404</v>
      </c>
      <c r="E992" s="5">
        <v>2</v>
      </c>
      <c r="F992" s="5">
        <v>418.26</v>
      </c>
      <c r="G992" s="6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5">
        <v>836.52</v>
      </c>
    </row>
    <row r="993" spans="1:14" x14ac:dyDescent="0.2">
      <c r="A993" t="s">
        <v>1005</v>
      </c>
      <c r="B993" s="4">
        <v>45540</v>
      </c>
      <c r="C993" s="6" t="s">
        <v>2198</v>
      </c>
      <c r="D993" t="s">
        <v>2409</v>
      </c>
      <c r="E993" s="5">
        <v>5</v>
      </c>
      <c r="F993" s="5">
        <v>127.18</v>
      </c>
      <c r="G993" s="6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5">
        <v>635.9</v>
      </c>
    </row>
    <row r="994" spans="1:14" x14ac:dyDescent="0.2">
      <c r="A994" t="s">
        <v>1006</v>
      </c>
      <c r="B994" s="5" t="s">
        <v>4671</v>
      </c>
      <c r="C994" s="6" t="s">
        <v>2199</v>
      </c>
      <c r="D994" t="s">
        <v>2407</v>
      </c>
      <c r="E994" s="5">
        <v>3</v>
      </c>
      <c r="F994" s="5">
        <v>586.21</v>
      </c>
      <c r="G994" s="6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7">
        <v>1758.63</v>
      </c>
    </row>
    <row r="995" spans="1:14" x14ac:dyDescent="0.2">
      <c r="A995" t="s">
        <v>1007</v>
      </c>
      <c r="B995" s="4">
        <v>45447</v>
      </c>
      <c r="C995" s="6" t="s">
        <v>2200</v>
      </c>
      <c r="D995" t="s">
        <v>2403</v>
      </c>
      <c r="E995" s="5">
        <v>3</v>
      </c>
      <c r="F995" s="5">
        <v>267.45</v>
      </c>
      <c r="G995" s="6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5">
        <v>802.35</v>
      </c>
    </row>
    <row r="996" spans="1:14" x14ac:dyDescent="0.2">
      <c r="A996" t="s">
        <v>1008</v>
      </c>
      <c r="B996" s="5" t="s">
        <v>4491</v>
      </c>
      <c r="C996" s="6" t="s">
        <v>2201</v>
      </c>
      <c r="D996" t="s">
        <v>2405</v>
      </c>
      <c r="E996" s="5">
        <v>4</v>
      </c>
      <c r="F996" s="5">
        <v>615.65</v>
      </c>
      <c r="G996" s="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7">
        <v>2462.6</v>
      </c>
    </row>
    <row r="997" spans="1:14" x14ac:dyDescent="0.2">
      <c r="A997" t="s">
        <v>1009</v>
      </c>
      <c r="B997" s="5" t="s">
        <v>4380</v>
      </c>
      <c r="C997" s="6" t="s">
        <v>2202</v>
      </c>
      <c r="D997" t="s">
        <v>2403</v>
      </c>
      <c r="E997" s="5">
        <v>2</v>
      </c>
      <c r="F997" s="5">
        <v>113.29</v>
      </c>
      <c r="G997" s="6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5">
        <v>226.58</v>
      </c>
    </row>
    <row r="998" spans="1:14" x14ac:dyDescent="0.2">
      <c r="A998" t="s">
        <v>1010</v>
      </c>
      <c r="B998" s="5" t="s">
        <v>4644</v>
      </c>
      <c r="C998" s="6" t="s">
        <v>2203</v>
      </c>
      <c r="D998" t="s">
        <v>2403</v>
      </c>
      <c r="E998" s="5">
        <v>4</v>
      </c>
      <c r="F998" s="5">
        <v>473.86</v>
      </c>
      <c r="G998" s="6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7">
        <v>1895.44</v>
      </c>
    </row>
    <row r="999" spans="1:14" x14ac:dyDescent="0.2">
      <c r="A999" t="s">
        <v>1011</v>
      </c>
      <c r="B999" s="5" t="s">
        <v>4366</v>
      </c>
      <c r="C999" s="6" t="s">
        <v>2204</v>
      </c>
      <c r="D999" t="s">
        <v>2408</v>
      </c>
      <c r="E999" s="5">
        <v>3</v>
      </c>
      <c r="F999" s="5">
        <v>444.75</v>
      </c>
      <c r="G999" s="6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7">
        <v>1334.25</v>
      </c>
    </row>
    <row r="1000" spans="1:14" x14ac:dyDescent="0.2">
      <c r="A1000" t="s">
        <v>1012</v>
      </c>
      <c r="B1000" s="5" t="s">
        <v>4427</v>
      </c>
      <c r="C1000" s="6" t="s">
        <v>2205</v>
      </c>
      <c r="D1000" t="s">
        <v>2404</v>
      </c>
      <c r="E1000" s="5">
        <v>2</v>
      </c>
      <c r="F1000" s="5">
        <v>183.67</v>
      </c>
      <c r="G1000" s="6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5">
        <v>367.34</v>
      </c>
    </row>
    <row r="1001" spans="1:14" x14ac:dyDescent="0.2">
      <c r="A1001" t="s">
        <v>1013</v>
      </c>
      <c r="B1001" s="5" t="s">
        <v>4581</v>
      </c>
      <c r="C1001" s="6" t="s">
        <v>2206</v>
      </c>
      <c r="D1001" t="s">
        <v>2407</v>
      </c>
      <c r="E1001" s="5">
        <v>1</v>
      </c>
      <c r="F1001" s="5">
        <v>483.38</v>
      </c>
      <c r="G1001" s="6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5">
        <v>483.38</v>
      </c>
    </row>
    <row r="1002" spans="1:14" x14ac:dyDescent="0.2">
      <c r="A1002" t="s">
        <v>1014</v>
      </c>
      <c r="B1002" s="5" t="s">
        <v>4672</v>
      </c>
      <c r="C1002" s="6" t="s">
        <v>2207</v>
      </c>
      <c r="D1002" t="s">
        <v>2407</v>
      </c>
      <c r="E1002" s="5">
        <v>5</v>
      </c>
      <c r="F1002" s="5">
        <v>260.93</v>
      </c>
      <c r="G1002" s="6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7">
        <v>1304.6500000000001</v>
      </c>
    </row>
    <row r="1003" spans="1:14" x14ac:dyDescent="0.2">
      <c r="A1003" t="s">
        <v>1015</v>
      </c>
      <c r="B1003" s="4">
        <v>45150</v>
      </c>
      <c r="C1003" s="6" t="s">
        <v>2208</v>
      </c>
      <c r="D1003" t="s">
        <v>2407</v>
      </c>
      <c r="E1003" s="5">
        <v>2</v>
      </c>
      <c r="F1003" s="5">
        <v>253.68</v>
      </c>
      <c r="G1003" s="6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4299</v>
      </c>
      <c r="M1003" t="s">
        <v>4279</v>
      </c>
      <c r="N1003" s="5">
        <v>507.36</v>
      </c>
    </row>
    <row r="1004" spans="1:14" x14ac:dyDescent="0.2">
      <c r="A1004" t="s">
        <v>1016</v>
      </c>
      <c r="B1004" s="5" t="s">
        <v>4673</v>
      </c>
      <c r="C1004" s="6" t="s">
        <v>2209</v>
      </c>
      <c r="D1004" t="s">
        <v>2405</v>
      </c>
      <c r="E1004" s="5">
        <v>4</v>
      </c>
      <c r="F1004" s="5">
        <v>699.88</v>
      </c>
      <c r="G1004" s="6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7">
        <v>2799.52</v>
      </c>
    </row>
    <row r="1005" spans="1:14" x14ac:dyDescent="0.2">
      <c r="A1005" t="s">
        <v>1017</v>
      </c>
      <c r="B1005" s="4">
        <v>45231</v>
      </c>
      <c r="C1005" s="6" t="s">
        <v>2210</v>
      </c>
      <c r="D1005" t="s">
        <v>2407</v>
      </c>
      <c r="E1005" s="5">
        <v>5</v>
      </c>
      <c r="F1005" s="5">
        <v>319.97000000000003</v>
      </c>
      <c r="G1005" s="6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7">
        <v>1599.85</v>
      </c>
    </row>
    <row r="1006" spans="1:14" x14ac:dyDescent="0.2">
      <c r="A1006" t="s">
        <v>1018</v>
      </c>
      <c r="B1006" s="4">
        <v>45906</v>
      </c>
      <c r="C1006" s="6" t="s">
        <v>2211</v>
      </c>
      <c r="D1006" t="s">
        <v>2406</v>
      </c>
      <c r="E1006" s="5">
        <v>4</v>
      </c>
      <c r="F1006" s="5">
        <v>246.91</v>
      </c>
      <c r="G1006" s="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5">
        <v>987.64</v>
      </c>
    </row>
    <row r="1007" spans="1:14" x14ac:dyDescent="0.2">
      <c r="A1007" t="s">
        <v>1019</v>
      </c>
      <c r="B1007" s="4">
        <v>44960</v>
      </c>
      <c r="C1007" s="6" t="s">
        <v>2212</v>
      </c>
      <c r="D1007" t="s">
        <v>2407</v>
      </c>
      <c r="E1007" s="5">
        <v>3</v>
      </c>
      <c r="F1007" s="5">
        <v>392.85</v>
      </c>
      <c r="G1007" s="6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4299</v>
      </c>
      <c r="M1007" t="s">
        <v>4282</v>
      </c>
      <c r="N1007" s="7">
        <v>1178.55</v>
      </c>
    </row>
    <row r="1008" spans="1:14" x14ac:dyDescent="0.2">
      <c r="A1008" t="s">
        <v>1020</v>
      </c>
      <c r="B1008" s="5" t="s">
        <v>4647</v>
      </c>
      <c r="C1008" s="6" t="s">
        <v>2213</v>
      </c>
      <c r="D1008" t="s">
        <v>2405</v>
      </c>
      <c r="E1008" s="5">
        <v>5</v>
      </c>
      <c r="F1008" s="5">
        <v>420.98</v>
      </c>
      <c r="G1008" s="6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7">
        <v>2104.9</v>
      </c>
    </row>
    <row r="1009" spans="1:14" x14ac:dyDescent="0.2">
      <c r="A1009" t="s">
        <v>1021</v>
      </c>
      <c r="B1009" s="5" t="s">
        <v>4656</v>
      </c>
      <c r="C1009" s="6" t="s">
        <v>1699</v>
      </c>
      <c r="D1009" t="s">
        <v>2403</v>
      </c>
      <c r="E1009" s="5">
        <v>2</v>
      </c>
      <c r="F1009" s="5">
        <v>73.260000000000005</v>
      </c>
      <c r="G1009" s="6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5">
        <v>146.52000000000001</v>
      </c>
    </row>
    <row r="1010" spans="1:14" x14ac:dyDescent="0.2">
      <c r="A1010" t="s">
        <v>1022</v>
      </c>
      <c r="B1010" s="5" t="s">
        <v>4674</v>
      </c>
      <c r="C1010" s="6" t="s">
        <v>2214</v>
      </c>
      <c r="D1010" t="s">
        <v>2403</v>
      </c>
      <c r="E1010" s="5">
        <v>3</v>
      </c>
      <c r="F1010" s="5">
        <v>410.88</v>
      </c>
      <c r="G1010" s="6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7">
        <v>1232.6400000000001</v>
      </c>
    </row>
    <row r="1011" spans="1:14" x14ac:dyDescent="0.2">
      <c r="A1011" t="s">
        <v>1023</v>
      </c>
      <c r="B1011" s="4">
        <v>44966</v>
      </c>
      <c r="C1011" s="6" t="s">
        <v>2215</v>
      </c>
      <c r="D1011" t="s">
        <v>2405</v>
      </c>
      <c r="E1011" s="5">
        <v>2</v>
      </c>
      <c r="F1011" s="5">
        <v>176.46</v>
      </c>
      <c r="G1011" s="6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5">
        <v>352.92</v>
      </c>
    </row>
    <row r="1012" spans="1:14" x14ac:dyDescent="0.2">
      <c r="A1012" t="s">
        <v>1024</v>
      </c>
      <c r="B1012" s="5" t="s">
        <v>4675</v>
      </c>
      <c r="C1012" s="6" t="s">
        <v>2216</v>
      </c>
      <c r="D1012" t="s">
        <v>2403</v>
      </c>
      <c r="E1012" s="5">
        <v>3</v>
      </c>
      <c r="F1012" s="5">
        <v>659.57</v>
      </c>
      <c r="G1012" s="6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7">
        <v>1978.71</v>
      </c>
    </row>
    <row r="1013" spans="1:14" x14ac:dyDescent="0.2">
      <c r="A1013" t="s">
        <v>1025</v>
      </c>
      <c r="B1013" s="4">
        <v>45363</v>
      </c>
      <c r="C1013" s="6" t="s">
        <v>2217</v>
      </c>
      <c r="D1013" t="s">
        <v>2404</v>
      </c>
      <c r="E1013" s="5">
        <v>2</v>
      </c>
      <c r="F1013" s="5">
        <v>478.36</v>
      </c>
      <c r="G1013" s="6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4299</v>
      </c>
      <c r="M1013" t="s">
        <v>4282</v>
      </c>
      <c r="N1013" s="5">
        <v>956.72</v>
      </c>
    </row>
    <row r="1014" spans="1:14" x14ac:dyDescent="0.2">
      <c r="A1014" t="s">
        <v>1026</v>
      </c>
      <c r="B1014" s="4">
        <v>45363</v>
      </c>
      <c r="C1014" s="6" t="s">
        <v>2218</v>
      </c>
      <c r="D1014" t="s">
        <v>2407</v>
      </c>
      <c r="E1014" s="5">
        <v>4</v>
      </c>
      <c r="F1014" s="5">
        <v>30.05</v>
      </c>
      <c r="G1014" s="6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4299</v>
      </c>
      <c r="M1014" t="s">
        <v>4281</v>
      </c>
      <c r="N1014" s="5">
        <v>120.2</v>
      </c>
    </row>
    <row r="1015" spans="1:14" x14ac:dyDescent="0.2">
      <c r="A1015" t="s">
        <v>1027</v>
      </c>
      <c r="B1015" s="5" t="s">
        <v>4676</v>
      </c>
      <c r="C1015" s="6" t="s">
        <v>2219</v>
      </c>
      <c r="D1015" t="s">
        <v>2408</v>
      </c>
      <c r="E1015" s="5">
        <v>4</v>
      </c>
      <c r="F1015" s="5">
        <v>300.56</v>
      </c>
      <c r="G1015" s="6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7">
        <v>1202.24</v>
      </c>
    </row>
    <row r="1016" spans="1:14" x14ac:dyDescent="0.2">
      <c r="A1016" t="s">
        <v>1028</v>
      </c>
      <c r="B1016" s="4">
        <v>45384</v>
      </c>
      <c r="C1016" s="6" t="s">
        <v>2220</v>
      </c>
      <c r="D1016" t="s">
        <v>2405</v>
      </c>
      <c r="E1016" s="5">
        <v>5</v>
      </c>
      <c r="F1016" s="5">
        <v>226.45</v>
      </c>
      <c r="G1016" s="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7">
        <v>1132.25</v>
      </c>
    </row>
    <row r="1017" spans="1:14" x14ac:dyDescent="0.2">
      <c r="A1017" t="s">
        <v>1029</v>
      </c>
      <c r="B1017" s="5" t="s">
        <v>4626</v>
      </c>
      <c r="C1017" s="6" t="s">
        <v>2221</v>
      </c>
      <c r="D1017" t="s">
        <v>2407</v>
      </c>
      <c r="E1017" s="5">
        <v>2</v>
      </c>
      <c r="F1017" s="5">
        <v>349.4</v>
      </c>
      <c r="G1017" s="6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5">
        <v>698.8</v>
      </c>
    </row>
    <row r="1018" spans="1:14" x14ac:dyDescent="0.2">
      <c r="A1018" t="s">
        <v>1030</v>
      </c>
      <c r="B1018" s="5" t="s">
        <v>4301</v>
      </c>
      <c r="C1018" s="6" t="s">
        <v>2222</v>
      </c>
      <c r="D1018" t="s">
        <v>2405</v>
      </c>
      <c r="E1018" s="5">
        <v>5</v>
      </c>
      <c r="F1018" s="5">
        <v>268.77999999999997</v>
      </c>
      <c r="G1018" s="6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7">
        <v>1343.9</v>
      </c>
    </row>
    <row r="1019" spans="1:14" x14ac:dyDescent="0.2">
      <c r="A1019" t="s">
        <v>1031</v>
      </c>
      <c r="B1019" s="5" t="s">
        <v>4677</v>
      </c>
      <c r="C1019" s="6" t="s">
        <v>2223</v>
      </c>
      <c r="D1019" t="s">
        <v>2406</v>
      </c>
      <c r="E1019" s="5">
        <v>2</v>
      </c>
      <c r="F1019" s="5">
        <v>680.85</v>
      </c>
      <c r="G1019" s="6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7">
        <v>1361.7</v>
      </c>
    </row>
    <row r="1020" spans="1:14" x14ac:dyDescent="0.2">
      <c r="A1020" t="s">
        <v>1032</v>
      </c>
      <c r="B1020" s="4">
        <v>45145</v>
      </c>
      <c r="C1020" s="6" t="s">
        <v>2224</v>
      </c>
      <c r="D1020" t="s">
        <v>2408</v>
      </c>
      <c r="E1020" s="5">
        <v>3</v>
      </c>
      <c r="F1020" s="5">
        <v>182.48</v>
      </c>
      <c r="G1020" s="6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4299</v>
      </c>
      <c r="M1020" t="s">
        <v>4278</v>
      </c>
      <c r="N1020" s="5">
        <v>547.44000000000005</v>
      </c>
    </row>
    <row r="1021" spans="1:14" x14ac:dyDescent="0.2">
      <c r="A1021" t="s">
        <v>1033</v>
      </c>
      <c r="B1021" s="4">
        <v>45447</v>
      </c>
      <c r="C1021" s="6" t="s">
        <v>2225</v>
      </c>
      <c r="D1021" t="s">
        <v>2409</v>
      </c>
      <c r="E1021" s="5">
        <v>1</v>
      </c>
      <c r="F1021" s="5">
        <v>277.08999999999997</v>
      </c>
      <c r="G1021" s="6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5">
        <v>277.08999999999997</v>
      </c>
    </row>
    <row r="1022" spans="1:14" x14ac:dyDescent="0.2">
      <c r="A1022" t="s">
        <v>1034</v>
      </c>
      <c r="B1022" s="5" t="s">
        <v>4407</v>
      </c>
      <c r="C1022" s="6" t="s">
        <v>2226</v>
      </c>
      <c r="D1022" t="s">
        <v>2405</v>
      </c>
      <c r="E1022" s="5">
        <v>2</v>
      </c>
      <c r="F1022" s="5">
        <v>26.5</v>
      </c>
      <c r="G1022" s="6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5">
        <v>53</v>
      </c>
    </row>
    <row r="1023" spans="1:14" x14ac:dyDescent="0.2">
      <c r="A1023" t="s">
        <v>1035</v>
      </c>
      <c r="B1023" s="5" t="s">
        <v>4297</v>
      </c>
      <c r="C1023" s="6" t="s">
        <v>2227</v>
      </c>
      <c r="D1023" t="s">
        <v>2404</v>
      </c>
      <c r="E1023" s="5">
        <v>3</v>
      </c>
      <c r="F1023" s="5">
        <v>315.27</v>
      </c>
      <c r="G1023" s="6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5">
        <v>945.81</v>
      </c>
    </row>
    <row r="1024" spans="1:14" x14ac:dyDescent="0.2">
      <c r="A1024" t="s">
        <v>1036</v>
      </c>
      <c r="B1024" s="5" t="s">
        <v>4607</v>
      </c>
      <c r="C1024" s="6" t="s">
        <v>2228</v>
      </c>
      <c r="D1024" t="s">
        <v>2405</v>
      </c>
      <c r="E1024" s="5">
        <v>3</v>
      </c>
      <c r="F1024" s="5">
        <v>450.98</v>
      </c>
      <c r="G1024" s="6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7">
        <v>1352.94</v>
      </c>
    </row>
    <row r="1025" spans="1:14" x14ac:dyDescent="0.2">
      <c r="A1025" t="s">
        <v>1037</v>
      </c>
      <c r="B1025" s="5" t="s">
        <v>4476</v>
      </c>
      <c r="C1025" s="6" t="s">
        <v>2229</v>
      </c>
      <c r="D1025" t="s">
        <v>2408</v>
      </c>
      <c r="E1025" s="5">
        <v>5</v>
      </c>
      <c r="F1025" s="5">
        <v>233.67</v>
      </c>
      <c r="G1025" s="6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4299</v>
      </c>
      <c r="M1025" t="s">
        <v>4279</v>
      </c>
      <c r="N1025" s="7">
        <v>1168.3499999999999</v>
      </c>
    </row>
    <row r="1026" spans="1:14" x14ac:dyDescent="0.2">
      <c r="A1026" t="s">
        <v>1038</v>
      </c>
      <c r="B1026" s="5" t="s">
        <v>4545</v>
      </c>
      <c r="C1026" s="6" t="s">
        <v>2230</v>
      </c>
      <c r="D1026" t="s">
        <v>2406</v>
      </c>
      <c r="E1026" s="5">
        <v>3</v>
      </c>
      <c r="F1026" s="5">
        <v>367.75</v>
      </c>
      <c r="G1026" s="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7">
        <v>1103.25</v>
      </c>
    </row>
    <row r="1027" spans="1:14" x14ac:dyDescent="0.2">
      <c r="A1027" t="s">
        <v>1039</v>
      </c>
      <c r="B1027" s="5" t="s">
        <v>4463</v>
      </c>
      <c r="C1027" s="6" t="s">
        <v>2231</v>
      </c>
      <c r="D1027" t="s">
        <v>2406</v>
      </c>
      <c r="E1027" s="5">
        <v>1</v>
      </c>
      <c r="F1027" s="5">
        <v>23.53</v>
      </c>
      <c r="G1027" s="6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5">
        <v>23.53</v>
      </c>
    </row>
    <row r="1028" spans="1:14" x14ac:dyDescent="0.2">
      <c r="A1028" t="s">
        <v>1040</v>
      </c>
      <c r="B1028" s="4">
        <v>44931</v>
      </c>
      <c r="C1028" s="6" t="s">
        <v>2232</v>
      </c>
      <c r="D1028" t="s">
        <v>2403</v>
      </c>
      <c r="E1028" s="5">
        <v>1</v>
      </c>
      <c r="F1028" s="5">
        <v>677.48</v>
      </c>
      <c r="G1028" s="6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5">
        <v>677.48</v>
      </c>
    </row>
    <row r="1029" spans="1:14" x14ac:dyDescent="0.2">
      <c r="A1029" t="s">
        <v>1041</v>
      </c>
      <c r="B1029" s="5" t="s">
        <v>4678</v>
      </c>
      <c r="C1029" s="6" t="s">
        <v>2233</v>
      </c>
      <c r="D1029" t="s">
        <v>2408</v>
      </c>
      <c r="E1029" s="5">
        <v>4</v>
      </c>
      <c r="F1029" s="5">
        <v>554.83000000000004</v>
      </c>
      <c r="G1029" s="6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4299</v>
      </c>
      <c r="M1029" t="s">
        <v>4282</v>
      </c>
      <c r="N1029" s="7">
        <v>2219.3200000000002</v>
      </c>
    </row>
    <row r="1030" spans="1:14" x14ac:dyDescent="0.2">
      <c r="A1030" t="s">
        <v>1042</v>
      </c>
      <c r="B1030" s="5" t="s">
        <v>4356</v>
      </c>
      <c r="C1030" s="6" t="s">
        <v>2234</v>
      </c>
      <c r="D1030" t="s">
        <v>2409</v>
      </c>
      <c r="E1030" s="5">
        <v>4</v>
      </c>
      <c r="F1030" s="5">
        <v>440.31</v>
      </c>
      <c r="G1030" s="6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4299</v>
      </c>
      <c r="M1030" t="s">
        <v>4278</v>
      </c>
      <c r="N1030" s="7">
        <v>1761.24</v>
      </c>
    </row>
    <row r="1031" spans="1:14" x14ac:dyDescent="0.2">
      <c r="A1031" t="s">
        <v>1043</v>
      </c>
      <c r="B1031" s="4">
        <v>45660</v>
      </c>
      <c r="C1031" s="6" t="s">
        <v>2235</v>
      </c>
      <c r="D1031" t="s">
        <v>2409</v>
      </c>
      <c r="E1031" s="5">
        <v>1</v>
      </c>
      <c r="F1031" s="5">
        <v>87.06</v>
      </c>
      <c r="G1031" s="6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5">
        <v>87.06</v>
      </c>
    </row>
    <row r="1032" spans="1:14" x14ac:dyDescent="0.2">
      <c r="A1032" t="s">
        <v>1044</v>
      </c>
      <c r="B1032" s="4">
        <v>44967</v>
      </c>
      <c r="C1032" s="6" t="s">
        <v>2236</v>
      </c>
      <c r="D1032" t="s">
        <v>2404</v>
      </c>
      <c r="E1032" s="5">
        <v>4</v>
      </c>
      <c r="F1032" s="5">
        <v>245.28</v>
      </c>
      <c r="G1032" s="6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5">
        <v>981.12</v>
      </c>
    </row>
    <row r="1033" spans="1:14" x14ac:dyDescent="0.2">
      <c r="A1033" t="s">
        <v>1045</v>
      </c>
      <c r="B1033" s="5" t="s">
        <v>4470</v>
      </c>
      <c r="C1033" s="6" t="s">
        <v>2237</v>
      </c>
      <c r="D1033" t="s">
        <v>2404</v>
      </c>
      <c r="E1033" s="5">
        <v>5</v>
      </c>
      <c r="F1033" s="5">
        <v>664.51</v>
      </c>
      <c r="G1033" s="6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7">
        <v>3322.55</v>
      </c>
    </row>
    <row r="1034" spans="1:14" x14ac:dyDescent="0.2">
      <c r="A1034" t="s">
        <v>1046</v>
      </c>
      <c r="B1034" s="5" t="s">
        <v>4415</v>
      </c>
      <c r="C1034" s="6" t="s">
        <v>2238</v>
      </c>
      <c r="D1034" t="s">
        <v>2406</v>
      </c>
      <c r="E1034" s="5">
        <v>1</v>
      </c>
      <c r="F1034" s="5">
        <v>618.67999999999995</v>
      </c>
      <c r="G1034" s="6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5">
        <v>618.67999999999995</v>
      </c>
    </row>
    <row r="1035" spans="1:14" x14ac:dyDescent="0.2">
      <c r="A1035" t="s">
        <v>1047</v>
      </c>
      <c r="B1035" s="5" t="s">
        <v>4679</v>
      </c>
      <c r="C1035" s="6" t="s">
        <v>2239</v>
      </c>
      <c r="D1035" t="s">
        <v>2403</v>
      </c>
      <c r="E1035" s="5">
        <v>1</v>
      </c>
      <c r="F1035" s="5">
        <v>370.85</v>
      </c>
      <c r="G1035" s="6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5">
        <v>370.85</v>
      </c>
    </row>
    <row r="1036" spans="1:14" x14ac:dyDescent="0.2">
      <c r="A1036" t="s">
        <v>1048</v>
      </c>
      <c r="B1036" s="5" t="s">
        <v>4567</v>
      </c>
      <c r="C1036" s="6" t="s">
        <v>2240</v>
      </c>
      <c r="D1036" t="s">
        <v>2407</v>
      </c>
      <c r="E1036" s="5">
        <v>4</v>
      </c>
      <c r="F1036" s="5">
        <v>517.98</v>
      </c>
      <c r="G1036" s="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7">
        <v>2071.92</v>
      </c>
    </row>
    <row r="1037" spans="1:14" x14ac:dyDescent="0.2">
      <c r="A1037" t="s">
        <v>1049</v>
      </c>
      <c r="B1037" s="4">
        <v>45271</v>
      </c>
      <c r="C1037" s="6" t="s">
        <v>2241</v>
      </c>
      <c r="D1037" t="s">
        <v>2408</v>
      </c>
      <c r="E1037" s="5">
        <v>4</v>
      </c>
      <c r="F1037" s="5">
        <v>506.11</v>
      </c>
      <c r="G1037" s="6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4299</v>
      </c>
      <c r="M1037" t="s">
        <v>4279</v>
      </c>
      <c r="N1037" s="7">
        <v>2024.44</v>
      </c>
    </row>
    <row r="1038" spans="1:14" x14ac:dyDescent="0.2">
      <c r="A1038" t="s">
        <v>1050</v>
      </c>
      <c r="B1038" s="5" t="s">
        <v>4648</v>
      </c>
      <c r="C1038" s="6" t="s">
        <v>2242</v>
      </c>
      <c r="D1038" t="s">
        <v>2404</v>
      </c>
      <c r="E1038" s="5">
        <v>3</v>
      </c>
      <c r="F1038" s="5">
        <v>413.83</v>
      </c>
      <c r="G1038" s="6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7">
        <v>1241.49</v>
      </c>
    </row>
    <row r="1039" spans="1:14" x14ac:dyDescent="0.2">
      <c r="A1039" t="s">
        <v>1051</v>
      </c>
      <c r="B1039" s="5" t="s">
        <v>4385</v>
      </c>
      <c r="C1039" s="6" t="s">
        <v>2243</v>
      </c>
      <c r="D1039" t="s">
        <v>2407</v>
      </c>
      <c r="E1039" s="5">
        <v>1</v>
      </c>
      <c r="F1039" s="5">
        <v>249.81</v>
      </c>
      <c r="G1039" s="6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5">
        <v>249.81</v>
      </c>
    </row>
    <row r="1040" spans="1:14" x14ac:dyDescent="0.2">
      <c r="A1040" t="s">
        <v>1052</v>
      </c>
      <c r="B1040" s="5" t="s">
        <v>4405</v>
      </c>
      <c r="C1040" s="6" t="s">
        <v>2244</v>
      </c>
      <c r="D1040" t="s">
        <v>2405</v>
      </c>
      <c r="E1040" s="5">
        <v>3</v>
      </c>
      <c r="F1040" s="5">
        <v>362.53</v>
      </c>
      <c r="G1040" s="6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4299</v>
      </c>
      <c r="M1040" t="s">
        <v>4281</v>
      </c>
      <c r="N1040" s="7">
        <v>1087.5899999999999</v>
      </c>
    </row>
    <row r="1041" spans="1:14" x14ac:dyDescent="0.2">
      <c r="A1041" t="s">
        <v>1053</v>
      </c>
      <c r="B1041" s="5" t="s">
        <v>4399</v>
      </c>
      <c r="C1041" s="6" t="s">
        <v>2245</v>
      </c>
      <c r="D1041" t="s">
        <v>2409</v>
      </c>
      <c r="E1041" s="5">
        <v>2</v>
      </c>
      <c r="F1041" s="5">
        <v>299.23</v>
      </c>
      <c r="G1041" s="6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5">
        <v>598.46</v>
      </c>
    </row>
    <row r="1042" spans="1:14" x14ac:dyDescent="0.2">
      <c r="A1042" t="s">
        <v>1054</v>
      </c>
      <c r="B1042" s="5" t="s">
        <v>4522</v>
      </c>
      <c r="C1042" s="6" t="s">
        <v>2246</v>
      </c>
      <c r="D1042" t="s">
        <v>2405</v>
      </c>
      <c r="E1042" s="5">
        <v>1</v>
      </c>
      <c r="F1042" s="5">
        <v>536.07000000000005</v>
      </c>
      <c r="G1042" s="6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5">
        <v>536.07000000000005</v>
      </c>
    </row>
    <row r="1043" spans="1:14" x14ac:dyDescent="0.2">
      <c r="A1043" t="s">
        <v>1055</v>
      </c>
      <c r="B1043" s="4">
        <v>45232</v>
      </c>
      <c r="C1043" s="6" t="s">
        <v>2247</v>
      </c>
      <c r="D1043" t="s">
        <v>2403</v>
      </c>
      <c r="E1043" s="5">
        <v>4</v>
      </c>
      <c r="F1043" s="5">
        <v>558.9</v>
      </c>
      <c r="G1043" s="6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7">
        <v>2235.6</v>
      </c>
    </row>
    <row r="1044" spans="1:14" x14ac:dyDescent="0.2">
      <c r="A1044" t="s">
        <v>1056</v>
      </c>
      <c r="B1044" s="4">
        <v>45547</v>
      </c>
      <c r="C1044" s="6" t="s">
        <v>2248</v>
      </c>
      <c r="D1044" t="s">
        <v>2405</v>
      </c>
      <c r="E1044" s="5">
        <v>2</v>
      </c>
      <c r="F1044" s="5">
        <v>409.75</v>
      </c>
      <c r="G1044" s="6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5">
        <v>819.5</v>
      </c>
    </row>
    <row r="1045" spans="1:14" x14ac:dyDescent="0.2">
      <c r="A1045" t="s">
        <v>1057</v>
      </c>
      <c r="B1045" s="4">
        <v>45962</v>
      </c>
      <c r="C1045" s="6" t="s">
        <v>2249</v>
      </c>
      <c r="D1045" t="s">
        <v>2405</v>
      </c>
      <c r="E1045" s="5">
        <v>2</v>
      </c>
      <c r="F1045" s="5">
        <v>179.96</v>
      </c>
      <c r="G1045" s="6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4299</v>
      </c>
      <c r="M1045" t="s">
        <v>4278</v>
      </c>
      <c r="N1045" s="5">
        <v>359.92</v>
      </c>
    </row>
    <row r="1046" spans="1:14" x14ac:dyDescent="0.2">
      <c r="A1046" t="s">
        <v>1058</v>
      </c>
      <c r="B1046" s="5" t="s">
        <v>4566</v>
      </c>
      <c r="C1046" s="6" t="s">
        <v>2250</v>
      </c>
      <c r="D1046" t="s">
        <v>2407</v>
      </c>
      <c r="E1046" s="5">
        <v>1</v>
      </c>
      <c r="F1046" s="5">
        <v>38.49</v>
      </c>
      <c r="G1046" s="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5">
        <v>38.49</v>
      </c>
    </row>
    <row r="1047" spans="1:14" x14ac:dyDescent="0.2">
      <c r="A1047" t="s">
        <v>1059</v>
      </c>
      <c r="B1047" s="5" t="s">
        <v>4315</v>
      </c>
      <c r="C1047" s="6" t="s">
        <v>2251</v>
      </c>
      <c r="D1047" t="s">
        <v>2408</v>
      </c>
      <c r="E1047" s="5">
        <v>5</v>
      </c>
      <c r="F1047" s="5">
        <v>316.39999999999998</v>
      </c>
      <c r="G1047" s="6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4299</v>
      </c>
      <c r="M1047" t="s">
        <v>4280</v>
      </c>
      <c r="N1047" s="7">
        <v>1582</v>
      </c>
    </row>
    <row r="1048" spans="1:14" x14ac:dyDescent="0.2">
      <c r="A1048" t="s">
        <v>1060</v>
      </c>
      <c r="B1048" s="4">
        <v>45483</v>
      </c>
      <c r="C1048" s="6" t="s">
        <v>2252</v>
      </c>
      <c r="D1048" t="s">
        <v>2405</v>
      </c>
      <c r="E1048" s="5">
        <v>3</v>
      </c>
      <c r="F1048" s="5">
        <v>547.15</v>
      </c>
      <c r="G1048" s="6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7">
        <v>1641.45</v>
      </c>
    </row>
    <row r="1049" spans="1:14" x14ac:dyDescent="0.2">
      <c r="A1049" t="s">
        <v>1061</v>
      </c>
      <c r="B1049" s="5" t="s">
        <v>4574</v>
      </c>
      <c r="C1049" s="6" t="s">
        <v>2253</v>
      </c>
      <c r="D1049" t="s">
        <v>2406</v>
      </c>
      <c r="E1049" s="5">
        <v>4</v>
      </c>
      <c r="F1049" s="5">
        <v>540.34</v>
      </c>
      <c r="G1049" s="6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7">
        <v>2161.36</v>
      </c>
    </row>
    <row r="1050" spans="1:14" x14ac:dyDescent="0.2">
      <c r="A1050" t="s">
        <v>1062</v>
      </c>
      <c r="B1050" s="4">
        <v>45544</v>
      </c>
      <c r="C1050" s="6" t="s">
        <v>2254</v>
      </c>
      <c r="D1050" t="s">
        <v>2403</v>
      </c>
      <c r="E1050" s="5">
        <v>4</v>
      </c>
      <c r="F1050" s="5">
        <v>73.650000000000006</v>
      </c>
      <c r="G1050" s="6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4299</v>
      </c>
      <c r="M1050" t="s">
        <v>4282</v>
      </c>
      <c r="N1050" s="5">
        <v>294.60000000000002</v>
      </c>
    </row>
    <row r="1051" spans="1:14" x14ac:dyDescent="0.2">
      <c r="A1051" t="s">
        <v>1063</v>
      </c>
      <c r="B1051" s="5" t="s">
        <v>4543</v>
      </c>
      <c r="C1051" s="6" t="s">
        <v>2255</v>
      </c>
      <c r="D1051" t="s">
        <v>2409</v>
      </c>
      <c r="E1051" s="5">
        <v>5</v>
      </c>
      <c r="F1051" s="5">
        <v>391.86</v>
      </c>
      <c r="G1051" s="6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4299</v>
      </c>
      <c r="M1051" t="s">
        <v>4278</v>
      </c>
      <c r="N1051" s="7">
        <v>1959.3</v>
      </c>
    </row>
    <row r="1052" spans="1:14" x14ac:dyDescent="0.2">
      <c r="A1052" t="s">
        <v>1064</v>
      </c>
      <c r="B1052" s="5" t="s">
        <v>4321</v>
      </c>
      <c r="C1052" s="6" t="s">
        <v>2256</v>
      </c>
      <c r="D1052" t="s">
        <v>2408</v>
      </c>
      <c r="E1052" s="5">
        <v>5</v>
      </c>
      <c r="F1052" s="5">
        <v>69.7</v>
      </c>
      <c r="G1052" s="6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4299</v>
      </c>
      <c r="M1052" t="s">
        <v>4278</v>
      </c>
      <c r="N1052" s="5">
        <v>348.5</v>
      </c>
    </row>
    <row r="1053" spans="1:14" x14ac:dyDescent="0.2">
      <c r="A1053" t="s">
        <v>1065</v>
      </c>
      <c r="B1053" s="4">
        <v>45780</v>
      </c>
      <c r="C1053" s="6" t="s">
        <v>2257</v>
      </c>
      <c r="D1053" t="s">
        <v>2403</v>
      </c>
      <c r="E1053" s="5">
        <v>5</v>
      </c>
      <c r="F1053" s="5">
        <v>26.43</v>
      </c>
      <c r="G1053" s="6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5">
        <v>132.15</v>
      </c>
    </row>
    <row r="1054" spans="1:14" x14ac:dyDescent="0.2">
      <c r="A1054" t="s">
        <v>1066</v>
      </c>
      <c r="B1054" s="4">
        <v>45239</v>
      </c>
      <c r="C1054" s="6" t="s">
        <v>2258</v>
      </c>
      <c r="D1054" t="s">
        <v>2405</v>
      </c>
      <c r="E1054" s="5">
        <v>1</v>
      </c>
      <c r="F1054" s="5">
        <v>531.74</v>
      </c>
      <c r="G1054" s="6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5">
        <v>531.74</v>
      </c>
    </row>
    <row r="1055" spans="1:14" x14ac:dyDescent="0.2">
      <c r="A1055" t="s">
        <v>1067</v>
      </c>
      <c r="B1055" s="5" t="s">
        <v>4680</v>
      </c>
      <c r="C1055" s="6" t="s">
        <v>2259</v>
      </c>
      <c r="D1055" t="s">
        <v>2404</v>
      </c>
      <c r="E1055" s="5">
        <v>2</v>
      </c>
      <c r="F1055" s="5">
        <v>496.62</v>
      </c>
      <c r="G1055" s="6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5">
        <v>993.24</v>
      </c>
    </row>
    <row r="1056" spans="1:14" x14ac:dyDescent="0.2">
      <c r="A1056" t="s">
        <v>1068</v>
      </c>
      <c r="B1056" s="5" t="s">
        <v>4681</v>
      </c>
      <c r="C1056" s="6" t="s">
        <v>2260</v>
      </c>
      <c r="D1056" t="s">
        <v>2407</v>
      </c>
      <c r="E1056" s="5">
        <v>1</v>
      </c>
      <c r="F1056" s="5">
        <v>660.66</v>
      </c>
      <c r="G1056" s="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5">
        <v>660.66</v>
      </c>
    </row>
    <row r="1057" spans="1:14" x14ac:dyDescent="0.2">
      <c r="A1057" t="s">
        <v>1069</v>
      </c>
      <c r="B1057" s="5" t="s">
        <v>4297</v>
      </c>
      <c r="C1057" s="6" t="s">
        <v>2261</v>
      </c>
      <c r="D1057" t="s">
        <v>2403</v>
      </c>
      <c r="E1057" s="5">
        <v>4</v>
      </c>
      <c r="F1057" s="5">
        <v>274.82</v>
      </c>
      <c r="G1057" s="6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7">
        <v>1099.28</v>
      </c>
    </row>
    <row r="1058" spans="1:14" x14ac:dyDescent="0.2">
      <c r="A1058" t="s">
        <v>1070</v>
      </c>
      <c r="B1058" s="5" t="s">
        <v>4466</v>
      </c>
      <c r="C1058" s="6" t="s">
        <v>2262</v>
      </c>
      <c r="D1058" t="s">
        <v>2404</v>
      </c>
      <c r="E1058" s="5">
        <v>2</v>
      </c>
      <c r="F1058" s="5">
        <v>486.35</v>
      </c>
      <c r="G1058" s="6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5">
        <v>972.7</v>
      </c>
    </row>
    <row r="1059" spans="1:14" x14ac:dyDescent="0.2">
      <c r="A1059" t="s">
        <v>1071</v>
      </c>
      <c r="B1059" s="5" t="s">
        <v>4682</v>
      </c>
      <c r="C1059" s="6" t="s">
        <v>2263</v>
      </c>
      <c r="D1059" t="s">
        <v>2408</v>
      </c>
      <c r="E1059" s="5">
        <v>3</v>
      </c>
      <c r="F1059" s="5">
        <v>428.88</v>
      </c>
      <c r="G1059" s="6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7">
        <v>1286.6400000000001</v>
      </c>
    </row>
    <row r="1060" spans="1:14" x14ac:dyDescent="0.2">
      <c r="A1060" t="s">
        <v>1072</v>
      </c>
      <c r="B1060" s="4">
        <v>45147</v>
      </c>
      <c r="C1060" s="6" t="s">
        <v>2264</v>
      </c>
      <c r="D1060" t="s">
        <v>2409</v>
      </c>
      <c r="E1060" s="5">
        <v>2</v>
      </c>
      <c r="F1060" s="5">
        <v>412.14</v>
      </c>
      <c r="G1060" s="6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5">
        <v>824.28</v>
      </c>
    </row>
    <row r="1061" spans="1:14" x14ac:dyDescent="0.2">
      <c r="A1061" t="s">
        <v>1073</v>
      </c>
      <c r="B1061" s="5" t="s">
        <v>4589</v>
      </c>
      <c r="C1061" s="6" t="s">
        <v>2265</v>
      </c>
      <c r="D1061" t="s">
        <v>2409</v>
      </c>
      <c r="E1061" s="5">
        <v>1</v>
      </c>
      <c r="F1061" s="5">
        <v>265.64</v>
      </c>
      <c r="G1061" s="6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5">
        <v>265.64</v>
      </c>
    </row>
    <row r="1062" spans="1:14" x14ac:dyDescent="0.2">
      <c r="A1062" t="s">
        <v>1074</v>
      </c>
      <c r="B1062" s="4">
        <v>45478</v>
      </c>
      <c r="C1062" s="6" t="s">
        <v>2266</v>
      </c>
      <c r="D1062" t="s">
        <v>2405</v>
      </c>
      <c r="E1062" s="5">
        <v>2</v>
      </c>
      <c r="F1062" s="5">
        <v>273.43</v>
      </c>
      <c r="G1062" s="6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5">
        <v>546.86</v>
      </c>
    </row>
    <row r="1063" spans="1:14" x14ac:dyDescent="0.2">
      <c r="A1063" t="s">
        <v>1075</v>
      </c>
      <c r="B1063" s="5" t="s">
        <v>4683</v>
      </c>
      <c r="C1063" s="6" t="s">
        <v>2267</v>
      </c>
      <c r="D1063" t="s">
        <v>2408</v>
      </c>
      <c r="E1063" s="5">
        <v>5</v>
      </c>
      <c r="F1063" s="5">
        <v>131.69999999999999</v>
      </c>
      <c r="G1063" s="6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5">
        <v>658.5</v>
      </c>
    </row>
    <row r="1064" spans="1:14" x14ac:dyDescent="0.2">
      <c r="A1064" t="s">
        <v>1076</v>
      </c>
      <c r="B1064" s="5" t="s">
        <v>4550</v>
      </c>
      <c r="C1064" s="6" t="s">
        <v>2268</v>
      </c>
      <c r="D1064" t="s">
        <v>2406</v>
      </c>
      <c r="E1064" s="5">
        <v>5</v>
      </c>
      <c r="F1064" s="5">
        <v>85.52</v>
      </c>
      <c r="G1064" s="6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4299</v>
      </c>
      <c r="M1064" t="s">
        <v>4281</v>
      </c>
      <c r="N1064" s="5">
        <v>427.6</v>
      </c>
    </row>
    <row r="1065" spans="1:14" x14ac:dyDescent="0.2">
      <c r="A1065" t="s">
        <v>1077</v>
      </c>
      <c r="B1065" s="5" t="s">
        <v>4349</v>
      </c>
      <c r="C1065" s="6" t="s">
        <v>2269</v>
      </c>
      <c r="D1065" t="s">
        <v>2409</v>
      </c>
      <c r="E1065" s="5">
        <v>2</v>
      </c>
      <c r="F1065" s="5">
        <v>320.68</v>
      </c>
      <c r="G1065" s="6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5">
        <v>641.36</v>
      </c>
    </row>
    <row r="1066" spans="1:14" x14ac:dyDescent="0.2">
      <c r="A1066" t="s">
        <v>1078</v>
      </c>
      <c r="B1066" s="4">
        <v>45993</v>
      </c>
      <c r="C1066" s="6" t="s">
        <v>2270</v>
      </c>
      <c r="D1066" t="s">
        <v>2408</v>
      </c>
      <c r="E1066" s="5">
        <v>4</v>
      </c>
      <c r="F1066" s="5">
        <v>198.81</v>
      </c>
      <c r="G1066" s="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5">
        <v>795.24</v>
      </c>
    </row>
    <row r="1067" spans="1:14" x14ac:dyDescent="0.2">
      <c r="A1067" t="s">
        <v>1079</v>
      </c>
      <c r="B1067" s="5" t="s">
        <v>4684</v>
      </c>
      <c r="C1067" s="6" t="s">
        <v>2271</v>
      </c>
      <c r="D1067" t="s">
        <v>2407</v>
      </c>
      <c r="E1067" s="5">
        <v>5</v>
      </c>
      <c r="F1067" s="5">
        <v>666.8</v>
      </c>
      <c r="G1067" s="6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7">
        <v>3334</v>
      </c>
    </row>
    <row r="1068" spans="1:14" x14ac:dyDescent="0.2">
      <c r="A1068" t="s">
        <v>1080</v>
      </c>
      <c r="B1068" s="5" t="s">
        <v>4685</v>
      </c>
      <c r="C1068" s="6" t="s">
        <v>2272</v>
      </c>
      <c r="D1068" t="s">
        <v>2409</v>
      </c>
      <c r="E1068" s="5">
        <v>1</v>
      </c>
      <c r="F1068" s="5">
        <v>355.09</v>
      </c>
      <c r="G1068" s="6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5">
        <v>355.09</v>
      </c>
    </row>
    <row r="1069" spans="1:14" x14ac:dyDescent="0.2">
      <c r="A1069" t="s">
        <v>1081</v>
      </c>
      <c r="B1069" s="4">
        <v>45083</v>
      </c>
      <c r="C1069" s="6" t="s">
        <v>2273</v>
      </c>
      <c r="D1069" t="s">
        <v>2404</v>
      </c>
      <c r="E1069" s="5">
        <v>2</v>
      </c>
      <c r="F1069" s="5">
        <v>316.2</v>
      </c>
      <c r="G1069" s="6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4299</v>
      </c>
      <c r="M1069" t="s">
        <v>4278</v>
      </c>
      <c r="N1069" s="5">
        <v>632.4</v>
      </c>
    </row>
    <row r="1070" spans="1:14" x14ac:dyDescent="0.2">
      <c r="A1070" t="s">
        <v>1082</v>
      </c>
      <c r="B1070" s="4">
        <v>45359</v>
      </c>
      <c r="C1070" s="6" t="s">
        <v>2274</v>
      </c>
      <c r="D1070" t="s">
        <v>2408</v>
      </c>
      <c r="E1070" s="5">
        <v>1</v>
      </c>
      <c r="F1070" s="5">
        <v>133.38999999999999</v>
      </c>
      <c r="G1070" s="6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5">
        <v>133.38999999999999</v>
      </c>
    </row>
    <row r="1071" spans="1:14" x14ac:dyDescent="0.2">
      <c r="A1071" t="s">
        <v>1083</v>
      </c>
      <c r="B1071" s="5" t="s">
        <v>4686</v>
      </c>
      <c r="C1071" s="6" t="s">
        <v>2275</v>
      </c>
      <c r="D1071" t="s">
        <v>2403</v>
      </c>
      <c r="E1071" s="5">
        <v>1</v>
      </c>
      <c r="F1071" s="5">
        <v>454.23</v>
      </c>
      <c r="G1071" s="6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4299</v>
      </c>
      <c r="M1071" t="s">
        <v>4281</v>
      </c>
      <c r="N1071" s="5">
        <v>454.23</v>
      </c>
    </row>
    <row r="1072" spans="1:14" x14ac:dyDescent="0.2">
      <c r="A1072" t="s">
        <v>1084</v>
      </c>
      <c r="B1072" s="4">
        <v>45452</v>
      </c>
      <c r="C1072" s="6" t="s">
        <v>2276</v>
      </c>
      <c r="D1072" t="s">
        <v>2409</v>
      </c>
      <c r="E1072" s="5">
        <v>4</v>
      </c>
      <c r="F1072" s="5">
        <v>491.29</v>
      </c>
      <c r="G1072" s="6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4299</v>
      </c>
      <c r="M1072" t="s">
        <v>4280</v>
      </c>
      <c r="N1072" s="7">
        <v>1965.16</v>
      </c>
    </row>
    <row r="1073" spans="1:14" x14ac:dyDescent="0.2">
      <c r="A1073" t="s">
        <v>1085</v>
      </c>
      <c r="B1073" s="5" t="s">
        <v>4331</v>
      </c>
      <c r="C1073" s="6" t="s">
        <v>2277</v>
      </c>
      <c r="D1073" t="s">
        <v>2404</v>
      </c>
      <c r="E1073" s="5">
        <v>2</v>
      </c>
      <c r="F1073" s="5">
        <v>255.14</v>
      </c>
      <c r="G1073" s="6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4299</v>
      </c>
      <c r="M1073" t="s">
        <v>4282</v>
      </c>
      <c r="N1073" s="5">
        <v>510.28</v>
      </c>
    </row>
    <row r="1074" spans="1:14" x14ac:dyDescent="0.2">
      <c r="A1074" t="s">
        <v>1086</v>
      </c>
      <c r="B1074" s="5" t="s">
        <v>4477</v>
      </c>
      <c r="C1074" s="6" t="s">
        <v>2278</v>
      </c>
      <c r="D1074" t="s">
        <v>2403</v>
      </c>
      <c r="E1074" s="5">
        <v>1</v>
      </c>
      <c r="F1074" s="5">
        <v>392.61</v>
      </c>
      <c r="G1074" s="6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5">
        <v>392.61</v>
      </c>
    </row>
    <row r="1075" spans="1:14" x14ac:dyDescent="0.2">
      <c r="A1075" t="s">
        <v>1087</v>
      </c>
      <c r="B1075" s="4">
        <v>45606</v>
      </c>
      <c r="C1075" s="6" t="s">
        <v>2279</v>
      </c>
      <c r="D1075" t="s">
        <v>2405</v>
      </c>
      <c r="E1075" s="5">
        <v>4</v>
      </c>
      <c r="F1075" s="5">
        <v>362.06</v>
      </c>
      <c r="G1075" s="6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4299</v>
      </c>
      <c r="M1075" t="s">
        <v>4281</v>
      </c>
      <c r="N1075" s="7">
        <v>1448.24</v>
      </c>
    </row>
    <row r="1076" spans="1:14" x14ac:dyDescent="0.2">
      <c r="A1076" t="s">
        <v>1088</v>
      </c>
      <c r="B1076" s="4">
        <v>45570</v>
      </c>
      <c r="C1076" s="6" t="s">
        <v>2280</v>
      </c>
      <c r="D1076" t="s">
        <v>2404</v>
      </c>
      <c r="E1076" s="5">
        <v>1</v>
      </c>
      <c r="F1076" s="5">
        <v>222.73</v>
      </c>
      <c r="G1076" s="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4299</v>
      </c>
      <c r="M1076" t="s">
        <v>4282</v>
      </c>
      <c r="N1076" s="5">
        <v>222.73</v>
      </c>
    </row>
    <row r="1077" spans="1:14" x14ac:dyDescent="0.2">
      <c r="A1077" t="s">
        <v>1089</v>
      </c>
      <c r="B1077" s="5" t="s">
        <v>4402</v>
      </c>
      <c r="C1077" s="6" t="s">
        <v>2281</v>
      </c>
      <c r="D1077" t="s">
        <v>2403</v>
      </c>
      <c r="E1077" s="5">
        <v>2</v>
      </c>
      <c r="F1077" s="5">
        <v>552.63</v>
      </c>
      <c r="G1077" s="6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7">
        <v>1105.26</v>
      </c>
    </row>
    <row r="1078" spans="1:14" x14ac:dyDescent="0.2">
      <c r="A1078" t="s">
        <v>1090</v>
      </c>
      <c r="B1078" s="4">
        <v>45143</v>
      </c>
      <c r="C1078" s="6" t="s">
        <v>2282</v>
      </c>
      <c r="D1078" t="s">
        <v>2408</v>
      </c>
      <c r="E1078" s="5">
        <v>4</v>
      </c>
      <c r="F1078" s="5">
        <v>686.61</v>
      </c>
      <c r="G1078" s="6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4299</v>
      </c>
      <c r="M1078" t="s">
        <v>4279</v>
      </c>
      <c r="N1078" s="7">
        <v>2746.44</v>
      </c>
    </row>
    <row r="1079" spans="1:14" x14ac:dyDescent="0.2">
      <c r="A1079" t="s">
        <v>1091</v>
      </c>
      <c r="B1079" s="4">
        <v>45841</v>
      </c>
      <c r="C1079" s="6" t="s">
        <v>2283</v>
      </c>
      <c r="D1079" t="s">
        <v>2407</v>
      </c>
      <c r="E1079" s="5">
        <v>3</v>
      </c>
      <c r="F1079" s="5">
        <v>305.16000000000003</v>
      </c>
      <c r="G1079" s="6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5">
        <v>915.48</v>
      </c>
    </row>
    <row r="1080" spans="1:14" x14ac:dyDescent="0.2">
      <c r="A1080" t="s">
        <v>1092</v>
      </c>
      <c r="B1080" s="5" t="s">
        <v>4401</v>
      </c>
      <c r="C1080" s="6" t="s">
        <v>2284</v>
      </c>
      <c r="D1080" t="s">
        <v>2409</v>
      </c>
      <c r="E1080" s="5">
        <v>1</v>
      </c>
      <c r="F1080" s="5">
        <v>41.09</v>
      </c>
      <c r="G1080" s="6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5">
        <v>41.09</v>
      </c>
    </row>
    <row r="1081" spans="1:14" x14ac:dyDescent="0.2">
      <c r="A1081" t="s">
        <v>1093</v>
      </c>
      <c r="B1081" s="5" t="s">
        <v>4687</v>
      </c>
      <c r="C1081" s="6" t="s">
        <v>2285</v>
      </c>
      <c r="D1081" t="s">
        <v>2404</v>
      </c>
      <c r="E1081" s="5">
        <v>5</v>
      </c>
      <c r="F1081" s="5">
        <v>634</v>
      </c>
      <c r="G1081" s="6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4299</v>
      </c>
      <c r="M1081" t="s">
        <v>4280</v>
      </c>
      <c r="N1081" s="7">
        <v>3170</v>
      </c>
    </row>
    <row r="1082" spans="1:14" x14ac:dyDescent="0.2">
      <c r="A1082" t="s">
        <v>1094</v>
      </c>
      <c r="B1082" s="5" t="s">
        <v>4490</v>
      </c>
      <c r="C1082" s="6" t="s">
        <v>2286</v>
      </c>
      <c r="D1082" t="s">
        <v>2408</v>
      </c>
      <c r="E1082" s="5">
        <v>5</v>
      </c>
      <c r="F1082" s="5">
        <v>464.74</v>
      </c>
      <c r="G1082" s="6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4299</v>
      </c>
      <c r="M1082" t="s">
        <v>4279</v>
      </c>
      <c r="N1082" s="7">
        <v>2323.6999999999998</v>
      </c>
    </row>
    <row r="1083" spans="1:14" x14ac:dyDescent="0.2">
      <c r="A1083" t="s">
        <v>1095</v>
      </c>
      <c r="B1083" s="5" t="s">
        <v>4568</v>
      </c>
      <c r="C1083" s="6" t="s">
        <v>2287</v>
      </c>
      <c r="D1083" t="s">
        <v>2403</v>
      </c>
      <c r="E1083" s="5">
        <v>4</v>
      </c>
      <c r="F1083" s="5">
        <v>425.6</v>
      </c>
      <c r="G1083" s="6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7">
        <v>1702.4</v>
      </c>
    </row>
    <row r="1084" spans="1:14" x14ac:dyDescent="0.2">
      <c r="A1084" t="s">
        <v>1096</v>
      </c>
      <c r="B1084" s="4">
        <v>45087</v>
      </c>
      <c r="C1084" s="6" t="s">
        <v>2288</v>
      </c>
      <c r="D1084" t="s">
        <v>2406</v>
      </c>
      <c r="E1084" s="5">
        <v>3</v>
      </c>
      <c r="F1084" s="5">
        <v>573.22</v>
      </c>
      <c r="G1084" s="6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7">
        <v>1719.66</v>
      </c>
    </row>
    <row r="1085" spans="1:14" x14ac:dyDescent="0.2">
      <c r="A1085" t="s">
        <v>1097</v>
      </c>
      <c r="B1085" s="4">
        <v>45542</v>
      </c>
      <c r="C1085" s="6" t="s">
        <v>2289</v>
      </c>
      <c r="D1085" t="s">
        <v>2406</v>
      </c>
      <c r="E1085" s="5">
        <v>1</v>
      </c>
      <c r="F1085" s="5">
        <v>123.28</v>
      </c>
      <c r="G1085" s="6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5">
        <v>123.28</v>
      </c>
    </row>
    <row r="1086" spans="1:14" x14ac:dyDescent="0.2">
      <c r="A1086" t="s">
        <v>1098</v>
      </c>
      <c r="B1086" s="4">
        <v>45139</v>
      </c>
      <c r="C1086" s="6" t="s">
        <v>2290</v>
      </c>
      <c r="D1086" t="s">
        <v>2404</v>
      </c>
      <c r="E1086" s="5">
        <v>1</v>
      </c>
      <c r="F1086" s="5">
        <v>70.819999999999993</v>
      </c>
      <c r="G1086" s="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5">
        <v>70.819999999999993</v>
      </c>
    </row>
    <row r="1087" spans="1:14" x14ac:dyDescent="0.2">
      <c r="A1087" t="s">
        <v>1099</v>
      </c>
      <c r="B1087" s="5" t="s">
        <v>4332</v>
      </c>
      <c r="C1087" s="6" t="s">
        <v>2291</v>
      </c>
      <c r="D1087" t="s">
        <v>2407</v>
      </c>
      <c r="E1087" s="5">
        <v>2</v>
      </c>
      <c r="F1087" s="5">
        <v>646.69000000000005</v>
      </c>
      <c r="G1087" s="6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7">
        <v>1293.3800000000001</v>
      </c>
    </row>
    <row r="1088" spans="1:14" x14ac:dyDescent="0.2">
      <c r="A1088" t="s">
        <v>1100</v>
      </c>
      <c r="B1088" s="5" t="s">
        <v>4580</v>
      </c>
      <c r="C1088" s="6" t="s">
        <v>2292</v>
      </c>
      <c r="D1088" t="s">
        <v>2405</v>
      </c>
      <c r="E1088" s="5">
        <v>2</v>
      </c>
      <c r="F1088" s="5">
        <v>513.41999999999996</v>
      </c>
      <c r="G1088" s="6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7">
        <v>1026.8399999999999</v>
      </c>
    </row>
    <row r="1089" spans="1:14" x14ac:dyDescent="0.2">
      <c r="A1089" t="s">
        <v>1101</v>
      </c>
      <c r="B1089" s="5" t="s">
        <v>4544</v>
      </c>
      <c r="C1089" s="6" t="s">
        <v>2293</v>
      </c>
      <c r="D1089" t="s">
        <v>2408</v>
      </c>
      <c r="E1089" s="5">
        <v>4</v>
      </c>
      <c r="F1089" s="5">
        <v>693.07</v>
      </c>
      <c r="G1089" s="6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7">
        <v>2772.28</v>
      </c>
    </row>
    <row r="1090" spans="1:14" x14ac:dyDescent="0.2">
      <c r="A1090" t="s">
        <v>1102</v>
      </c>
      <c r="B1090" s="5" t="s">
        <v>4368</v>
      </c>
      <c r="C1090" s="6" t="s">
        <v>2294</v>
      </c>
      <c r="D1090" t="s">
        <v>2409</v>
      </c>
      <c r="E1090" s="5">
        <v>3</v>
      </c>
      <c r="F1090" s="5">
        <v>491.43</v>
      </c>
      <c r="G1090" s="6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7">
        <v>1474.29</v>
      </c>
    </row>
    <row r="1091" spans="1:14" x14ac:dyDescent="0.2">
      <c r="A1091" t="s">
        <v>1103</v>
      </c>
      <c r="B1091" s="5" t="s">
        <v>4405</v>
      </c>
      <c r="C1091" s="6" t="s">
        <v>2295</v>
      </c>
      <c r="D1091" t="s">
        <v>2405</v>
      </c>
      <c r="E1091" s="5">
        <v>2</v>
      </c>
      <c r="F1091" s="5">
        <v>599.74</v>
      </c>
      <c r="G1091" s="6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4299</v>
      </c>
      <c r="M1091" t="s">
        <v>4278</v>
      </c>
      <c r="N1091" s="7">
        <v>1199.48</v>
      </c>
    </row>
    <row r="1092" spans="1:14" x14ac:dyDescent="0.2">
      <c r="A1092" t="s">
        <v>1104</v>
      </c>
      <c r="B1092" s="5" t="s">
        <v>4686</v>
      </c>
      <c r="C1092" s="6" t="s">
        <v>2296</v>
      </c>
      <c r="D1092" t="s">
        <v>2403</v>
      </c>
      <c r="E1092" s="5">
        <v>2</v>
      </c>
      <c r="F1092" s="5">
        <v>650.25</v>
      </c>
      <c r="G1092" s="6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4299</v>
      </c>
      <c r="M1092" t="s">
        <v>4278</v>
      </c>
      <c r="N1092" s="7">
        <v>1300.5</v>
      </c>
    </row>
    <row r="1093" spans="1:14" x14ac:dyDescent="0.2">
      <c r="A1093" t="s">
        <v>1105</v>
      </c>
      <c r="B1093" s="4">
        <v>45514</v>
      </c>
      <c r="C1093" s="6" t="s">
        <v>2297</v>
      </c>
      <c r="D1093" t="s">
        <v>2408</v>
      </c>
      <c r="E1093" s="5">
        <v>3</v>
      </c>
      <c r="F1093" s="5">
        <v>209.48</v>
      </c>
      <c r="G1093" s="6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4299</v>
      </c>
      <c r="M1093" t="s">
        <v>4280</v>
      </c>
      <c r="N1093" s="5">
        <v>628.44000000000005</v>
      </c>
    </row>
    <row r="1094" spans="1:14" x14ac:dyDescent="0.2">
      <c r="A1094" t="s">
        <v>1106</v>
      </c>
      <c r="B1094" s="5" t="s">
        <v>4614</v>
      </c>
      <c r="C1094" s="6" t="s">
        <v>2298</v>
      </c>
      <c r="D1094" t="s">
        <v>2408</v>
      </c>
      <c r="E1094" s="5">
        <v>5</v>
      </c>
      <c r="F1094" s="5">
        <v>209.2</v>
      </c>
      <c r="G1094" s="6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7">
        <v>1046</v>
      </c>
    </row>
    <row r="1095" spans="1:14" x14ac:dyDescent="0.2">
      <c r="A1095" t="s">
        <v>1107</v>
      </c>
      <c r="B1095" s="4">
        <v>45175</v>
      </c>
      <c r="C1095" s="6" t="s">
        <v>2299</v>
      </c>
      <c r="D1095" t="s">
        <v>2404</v>
      </c>
      <c r="E1095" s="5">
        <v>4</v>
      </c>
      <c r="F1095" s="5">
        <v>197.36</v>
      </c>
      <c r="G1095" s="6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5">
        <v>789.44</v>
      </c>
    </row>
    <row r="1096" spans="1:14" x14ac:dyDescent="0.2">
      <c r="A1096" t="s">
        <v>1108</v>
      </c>
      <c r="B1096" s="5" t="s">
        <v>4500</v>
      </c>
      <c r="C1096" s="6" t="s">
        <v>2300</v>
      </c>
      <c r="D1096" t="s">
        <v>2407</v>
      </c>
      <c r="E1096" s="5">
        <v>4</v>
      </c>
      <c r="F1096" s="5">
        <v>648.91</v>
      </c>
      <c r="G1096" s="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7">
        <v>2595.64</v>
      </c>
    </row>
    <row r="1097" spans="1:14" x14ac:dyDescent="0.2">
      <c r="A1097" t="s">
        <v>1109</v>
      </c>
      <c r="B1097" s="5" t="s">
        <v>4441</v>
      </c>
      <c r="C1097" s="6" t="s">
        <v>2301</v>
      </c>
      <c r="D1097" t="s">
        <v>2404</v>
      </c>
      <c r="E1097" s="5">
        <v>2</v>
      </c>
      <c r="F1097" s="5">
        <v>441.54</v>
      </c>
      <c r="G1097" s="6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5">
        <v>883.08</v>
      </c>
    </row>
    <row r="1098" spans="1:14" x14ac:dyDescent="0.2">
      <c r="A1098" t="s">
        <v>1110</v>
      </c>
      <c r="B1098" s="4">
        <v>45721</v>
      </c>
      <c r="C1098" s="6" t="s">
        <v>2302</v>
      </c>
      <c r="D1098" t="s">
        <v>2405</v>
      </c>
      <c r="E1098" s="5">
        <v>2</v>
      </c>
      <c r="F1098" s="5">
        <v>464.92</v>
      </c>
      <c r="G1098" s="6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4299</v>
      </c>
      <c r="M1098" t="s">
        <v>4281</v>
      </c>
      <c r="N1098" s="5">
        <v>929.84</v>
      </c>
    </row>
    <row r="1099" spans="1:14" x14ac:dyDescent="0.2">
      <c r="A1099" t="s">
        <v>1111</v>
      </c>
      <c r="B1099" s="5" t="s">
        <v>4688</v>
      </c>
      <c r="C1099" s="6" t="s">
        <v>2303</v>
      </c>
      <c r="D1099" t="s">
        <v>2403</v>
      </c>
      <c r="E1099" s="5">
        <v>5</v>
      </c>
      <c r="F1099" s="5">
        <v>506.45</v>
      </c>
      <c r="G1099" s="6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7">
        <v>2532.25</v>
      </c>
    </row>
    <row r="1100" spans="1:14" x14ac:dyDescent="0.2">
      <c r="A1100" t="s">
        <v>1112</v>
      </c>
      <c r="B1100" s="5" t="s">
        <v>4689</v>
      </c>
      <c r="C1100" s="6" t="s">
        <v>2304</v>
      </c>
      <c r="D1100" t="s">
        <v>2403</v>
      </c>
      <c r="E1100" s="5">
        <v>4</v>
      </c>
      <c r="F1100" s="5">
        <v>255.86</v>
      </c>
      <c r="G1100" s="6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4299</v>
      </c>
      <c r="M1100" t="s">
        <v>4280</v>
      </c>
      <c r="N1100" s="7">
        <v>1023.44</v>
      </c>
    </row>
    <row r="1101" spans="1:14" x14ac:dyDescent="0.2">
      <c r="A1101" t="s">
        <v>1113</v>
      </c>
      <c r="B1101" s="5" t="s">
        <v>4632</v>
      </c>
      <c r="C1101" s="6" t="s">
        <v>2305</v>
      </c>
      <c r="D1101" t="s">
        <v>2408</v>
      </c>
      <c r="E1101" s="5">
        <v>2</v>
      </c>
      <c r="F1101" s="5">
        <v>125.23</v>
      </c>
      <c r="G1101" s="6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5">
        <v>250.46</v>
      </c>
    </row>
    <row r="1102" spans="1:14" x14ac:dyDescent="0.2">
      <c r="A1102" t="s">
        <v>1114</v>
      </c>
      <c r="B1102" s="5" t="s">
        <v>4619</v>
      </c>
      <c r="C1102" s="6" t="s">
        <v>2306</v>
      </c>
      <c r="D1102" t="s">
        <v>2408</v>
      </c>
      <c r="E1102" s="5">
        <v>5</v>
      </c>
      <c r="F1102" s="5">
        <v>38.11</v>
      </c>
      <c r="G1102" s="6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5">
        <v>190.55</v>
      </c>
    </row>
    <row r="1103" spans="1:14" x14ac:dyDescent="0.2">
      <c r="A1103" t="s">
        <v>1115</v>
      </c>
      <c r="B1103" s="4">
        <v>45875</v>
      </c>
      <c r="C1103" s="6" t="s">
        <v>2307</v>
      </c>
      <c r="D1103" t="s">
        <v>2403</v>
      </c>
      <c r="E1103" s="5">
        <v>3</v>
      </c>
      <c r="F1103" s="5">
        <v>161.97</v>
      </c>
      <c r="G1103" s="6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5">
        <v>485.91</v>
      </c>
    </row>
    <row r="1104" spans="1:14" x14ac:dyDescent="0.2">
      <c r="A1104" t="s">
        <v>1116</v>
      </c>
      <c r="B1104" s="4">
        <v>45357</v>
      </c>
      <c r="C1104" s="6" t="s">
        <v>1228</v>
      </c>
      <c r="D1104" t="s">
        <v>2406</v>
      </c>
      <c r="E1104" s="5">
        <v>4</v>
      </c>
      <c r="F1104" s="5">
        <v>347.17</v>
      </c>
      <c r="G1104" s="6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4299</v>
      </c>
      <c r="M1104" t="s">
        <v>4278</v>
      </c>
      <c r="N1104" s="7">
        <v>1388.68</v>
      </c>
    </row>
    <row r="1105" spans="1:14" x14ac:dyDescent="0.2">
      <c r="A1105" t="s">
        <v>1117</v>
      </c>
      <c r="B1105" s="5" t="s">
        <v>4690</v>
      </c>
      <c r="C1105" s="6" t="s">
        <v>2308</v>
      </c>
      <c r="D1105" t="s">
        <v>2408</v>
      </c>
      <c r="E1105" s="5">
        <v>4</v>
      </c>
      <c r="F1105" s="5">
        <v>276.32</v>
      </c>
      <c r="G1105" s="6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4299</v>
      </c>
      <c r="M1105" t="s">
        <v>4282</v>
      </c>
      <c r="N1105" s="7">
        <v>1105.28</v>
      </c>
    </row>
    <row r="1106" spans="1:14" x14ac:dyDescent="0.2">
      <c r="A1106" t="s">
        <v>1118</v>
      </c>
      <c r="B1106" s="5" t="s">
        <v>4638</v>
      </c>
      <c r="C1106" s="6" t="s">
        <v>2309</v>
      </c>
      <c r="D1106" t="s">
        <v>2405</v>
      </c>
      <c r="E1106" s="5">
        <v>4</v>
      </c>
      <c r="F1106" s="5">
        <v>314.76</v>
      </c>
      <c r="G1106" s="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4299</v>
      </c>
      <c r="M1106" t="s">
        <v>4278</v>
      </c>
      <c r="N1106" s="7">
        <v>1259.04</v>
      </c>
    </row>
    <row r="1107" spans="1:14" x14ac:dyDescent="0.2">
      <c r="A1107" t="s">
        <v>1119</v>
      </c>
      <c r="B1107" s="4">
        <v>45505</v>
      </c>
      <c r="C1107" s="6" t="s">
        <v>2310</v>
      </c>
      <c r="D1107" t="s">
        <v>2405</v>
      </c>
      <c r="E1107" s="5">
        <v>3</v>
      </c>
      <c r="F1107" s="5">
        <v>475.69</v>
      </c>
      <c r="G1107" s="6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7">
        <v>1427.07</v>
      </c>
    </row>
    <row r="1108" spans="1:14" x14ac:dyDescent="0.2">
      <c r="A1108" t="s">
        <v>1120</v>
      </c>
      <c r="B1108" s="4">
        <v>45263</v>
      </c>
      <c r="C1108" s="6" t="s">
        <v>2311</v>
      </c>
      <c r="D1108" t="s">
        <v>2406</v>
      </c>
      <c r="E1108" s="5">
        <v>1</v>
      </c>
      <c r="F1108" s="5">
        <v>372.8</v>
      </c>
      <c r="G1108" s="6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5">
        <v>372.8</v>
      </c>
    </row>
    <row r="1109" spans="1:14" x14ac:dyDescent="0.2">
      <c r="A1109" t="s">
        <v>1121</v>
      </c>
      <c r="B1109" s="5" t="s">
        <v>4440</v>
      </c>
      <c r="C1109" s="6" t="s">
        <v>2312</v>
      </c>
      <c r="D1109" t="s">
        <v>2405</v>
      </c>
      <c r="E1109" s="5">
        <v>2</v>
      </c>
      <c r="F1109" s="5">
        <v>63.21</v>
      </c>
      <c r="G1109" s="6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5">
        <v>126.42</v>
      </c>
    </row>
    <row r="1110" spans="1:14" x14ac:dyDescent="0.2">
      <c r="A1110" t="s">
        <v>1122</v>
      </c>
      <c r="B1110" s="5" t="s">
        <v>4691</v>
      </c>
      <c r="C1110" s="6" t="s">
        <v>2313</v>
      </c>
      <c r="D1110" t="s">
        <v>2408</v>
      </c>
      <c r="E1110" s="5">
        <v>1</v>
      </c>
      <c r="F1110" s="5">
        <v>634.94000000000005</v>
      </c>
      <c r="G1110" s="6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5">
        <v>634.94000000000005</v>
      </c>
    </row>
    <row r="1111" spans="1:14" x14ac:dyDescent="0.2">
      <c r="A1111" t="s">
        <v>1123</v>
      </c>
      <c r="B1111" s="4">
        <v>45508</v>
      </c>
      <c r="C1111" s="6" t="s">
        <v>2314</v>
      </c>
      <c r="D1111" t="s">
        <v>2407</v>
      </c>
      <c r="E1111" s="5">
        <v>4</v>
      </c>
      <c r="F1111" s="5">
        <v>77.47</v>
      </c>
      <c r="G1111" s="6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5">
        <v>309.88</v>
      </c>
    </row>
    <row r="1112" spans="1:14" x14ac:dyDescent="0.2">
      <c r="A1112" t="s">
        <v>1124</v>
      </c>
      <c r="B1112" s="5" t="s">
        <v>4538</v>
      </c>
      <c r="C1112" s="6" t="s">
        <v>2315</v>
      </c>
      <c r="D1112" t="s">
        <v>2406</v>
      </c>
      <c r="E1112" s="5">
        <v>3</v>
      </c>
      <c r="F1112" s="5">
        <v>84.31</v>
      </c>
      <c r="G1112" s="6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5">
        <v>252.93</v>
      </c>
    </row>
    <row r="1113" spans="1:14" x14ac:dyDescent="0.2">
      <c r="A1113" t="s">
        <v>1125</v>
      </c>
      <c r="B1113" s="4">
        <v>45082</v>
      </c>
      <c r="C1113" s="6" t="s">
        <v>2316</v>
      </c>
      <c r="D1113" t="s">
        <v>2403</v>
      </c>
      <c r="E1113" s="5">
        <v>4</v>
      </c>
      <c r="F1113" s="5">
        <v>234.45</v>
      </c>
      <c r="G1113" s="6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5">
        <v>937.8</v>
      </c>
    </row>
    <row r="1114" spans="1:14" x14ac:dyDescent="0.2">
      <c r="A1114" t="s">
        <v>1126</v>
      </c>
      <c r="B1114" s="5" t="s">
        <v>4692</v>
      </c>
      <c r="C1114" s="6" t="s">
        <v>2317</v>
      </c>
      <c r="D1114" t="s">
        <v>2409</v>
      </c>
      <c r="E1114" s="5">
        <v>1</v>
      </c>
      <c r="F1114" s="5">
        <v>356.81</v>
      </c>
      <c r="G1114" s="6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5">
        <v>356.81</v>
      </c>
    </row>
    <row r="1115" spans="1:14" x14ac:dyDescent="0.2">
      <c r="A1115" t="s">
        <v>1127</v>
      </c>
      <c r="B1115" s="5" t="s">
        <v>4367</v>
      </c>
      <c r="C1115" s="6" t="s">
        <v>2318</v>
      </c>
      <c r="D1115" t="s">
        <v>2409</v>
      </c>
      <c r="E1115" s="5">
        <v>4</v>
      </c>
      <c r="F1115" s="5">
        <v>209.99</v>
      </c>
      <c r="G1115" s="6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4299</v>
      </c>
      <c r="M1115" t="s">
        <v>4282</v>
      </c>
      <c r="N1115" s="5">
        <v>839.96</v>
      </c>
    </row>
    <row r="1116" spans="1:14" x14ac:dyDescent="0.2">
      <c r="A1116" t="s">
        <v>1128</v>
      </c>
      <c r="B1116" s="5" t="s">
        <v>4693</v>
      </c>
      <c r="C1116" s="6" t="s">
        <v>2319</v>
      </c>
      <c r="D1116" t="s">
        <v>2405</v>
      </c>
      <c r="E1116" s="5">
        <v>3</v>
      </c>
      <c r="F1116" s="5">
        <v>659.88</v>
      </c>
      <c r="G1116" s="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4299</v>
      </c>
      <c r="M1116" t="s">
        <v>4282</v>
      </c>
      <c r="N1116" s="7">
        <v>1979.64</v>
      </c>
    </row>
    <row r="1117" spans="1:14" x14ac:dyDescent="0.2">
      <c r="A1117" t="s">
        <v>1129</v>
      </c>
      <c r="B1117" s="5" t="s">
        <v>4374</v>
      </c>
      <c r="C1117" s="6" t="s">
        <v>2320</v>
      </c>
      <c r="D1117" t="s">
        <v>2408</v>
      </c>
      <c r="E1117" s="5">
        <v>2</v>
      </c>
      <c r="F1117" s="5">
        <v>336.32</v>
      </c>
      <c r="G1117" s="6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4299</v>
      </c>
      <c r="M1117" t="s">
        <v>4282</v>
      </c>
      <c r="N1117" s="5">
        <v>672.64</v>
      </c>
    </row>
    <row r="1118" spans="1:14" x14ac:dyDescent="0.2">
      <c r="A1118" t="s">
        <v>1130</v>
      </c>
      <c r="B1118" s="5" t="s">
        <v>4668</v>
      </c>
      <c r="C1118" s="6" t="s">
        <v>2321</v>
      </c>
      <c r="D1118" t="s">
        <v>2407</v>
      </c>
      <c r="E1118" s="5">
        <v>2</v>
      </c>
      <c r="F1118" s="5">
        <v>531.49</v>
      </c>
      <c r="G1118" s="6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7">
        <v>1062.98</v>
      </c>
    </row>
    <row r="1119" spans="1:14" x14ac:dyDescent="0.2">
      <c r="A1119" t="s">
        <v>1131</v>
      </c>
      <c r="B1119" s="5" t="s">
        <v>4417</v>
      </c>
      <c r="C1119" s="6" t="s">
        <v>2322</v>
      </c>
      <c r="D1119" t="s">
        <v>2406</v>
      </c>
      <c r="E1119" s="5">
        <v>3</v>
      </c>
      <c r="F1119" s="5">
        <v>588.44000000000005</v>
      </c>
      <c r="G1119" s="6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7">
        <v>1765.32</v>
      </c>
    </row>
    <row r="1120" spans="1:14" x14ac:dyDescent="0.2">
      <c r="A1120" t="s">
        <v>1132</v>
      </c>
      <c r="B1120" s="5" t="s">
        <v>4346</v>
      </c>
      <c r="C1120" s="6" t="s">
        <v>2323</v>
      </c>
      <c r="D1120" t="s">
        <v>2404</v>
      </c>
      <c r="E1120" s="5">
        <v>3</v>
      </c>
      <c r="F1120" s="5">
        <v>251.48</v>
      </c>
      <c r="G1120" s="6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4299</v>
      </c>
      <c r="M1120" t="s">
        <v>4280</v>
      </c>
      <c r="N1120" s="5">
        <v>754.44</v>
      </c>
    </row>
    <row r="1121" spans="1:14" x14ac:dyDescent="0.2">
      <c r="A1121" t="s">
        <v>1133</v>
      </c>
      <c r="B1121" s="5" t="s">
        <v>4400</v>
      </c>
      <c r="C1121" s="6" t="s">
        <v>2324</v>
      </c>
      <c r="D1121" t="s">
        <v>2408</v>
      </c>
      <c r="E1121" s="5">
        <v>1</v>
      </c>
      <c r="F1121" s="5">
        <v>684.65</v>
      </c>
      <c r="G1121" s="6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5">
        <v>684.65</v>
      </c>
    </row>
    <row r="1122" spans="1:14" x14ac:dyDescent="0.2">
      <c r="A1122" t="s">
        <v>1134</v>
      </c>
      <c r="B1122" s="4">
        <v>45935</v>
      </c>
      <c r="C1122" s="6" t="s">
        <v>2325</v>
      </c>
      <c r="D1122" t="s">
        <v>2405</v>
      </c>
      <c r="E1122" s="5">
        <v>1</v>
      </c>
      <c r="F1122" s="5">
        <v>195.86</v>
      </c>
      <c r="G1122" s="6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4299</v>
      </c>
      <c r="M1122" t="s">
        <v>4281</v>
      </c>
      <c r="N1122" s="5">
        <v>195.86</v>
      </c>
    </row>
    <row r="1123" spans="1:14" x14ac:dyDescent="0.2">
      <c r="A1123" t="s">
        <v>1135</v>
      </c>
      <c r="B1123" s="5" t="s">
        <v>4694</v>
      </c>
      <c r="C1123" s="6" t="s">
        <v>2326</v>
      </c>
      <c r="D1123" t="s">
        <v>2404</v>
      </c>
      <c r="E1123" s="5">
        <v>3</v>
      </c>
      <c r="F1123" s="5">
        <v>50.34</v>
      </c>
      <c r="G1123" s="6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5">
        <v>151.02000000000001</v>
      </c>
    </row>
    <row r="1124" spans="1:14" x14ac:dyDescent="0.2">
      <c r="A1124" t="s">
        <v>1136</v>
      </c>
      <c r="B1124" s="4">
        <v>45113</v>
      </c>
      <c r="C1124" s="6" t="s">
        <v>1480</v>
      </c>
      <c r="D1124" t="s">
        <v>2403</v>
      </c>
      <c r="E1124" s="5">
        <v>5</v>
      </c>
      <c r="F1124" s="5">
        <v>678.19</v>
      </c>
      <c r="G1124" s="6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4299</v>
      </c>
      <c r="M1124" t="s">
        <v>4281</v>
      </c>
      <c r="N1124" s="7">
        <v>3390.95</v>
      </c>
    </row>
    <row r="1125" spans="1:14" x14ac:dyDescent="0.2">
      <c r="A1125" t="s">
        <v>1137</v>
      </c>
      <c r="B1125" s="5" t="s">
        <v>4695</v>
      </c>
      <c r="C1125" s="6" t="s">
        <v>2327</v>
      </c>
      <c r="D1125" t="s">
        <v>2405</v>
      </c>
      <c r="E1125" s="5">
        <v>3</v>
      </c>
      <c r="F1125" s="5">
        <v>554.25</v>
      </c>
      <c r="G1125" s="6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7">
        <v>1662.75</v>
      </c>
    </row>
    <row r="1126" spans="1:14" x14ac:dyDescent="0.2">
      <c r="A1126" t="s">
        <v>1138</v>
      </c>
      <c r="B1126" s="4">
        <v>45174</v>
      </c>
      <c r="C1126" s="6" t="s">
        <v>2328</v>
      </c>
      <c r="D1126" t="s">
        <v>2406</v>
      </c>
      <c r="E1126" s="5">
        <v>4</v>
      </c>
      <c r="F1126" s="5">
        <v>576.87</v>
      </c>
      <c r="G1126" s="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4299</v>
      </c>
      <c r="M1126" t="s">
        <v>4278</v>
      </c>
      <c r="N1126" s="7">
        <v>2307.48</v>
      </c>
    </row>
    <row r="1127" spans="1:14" x14ac:dyDescent="0.2">
      <c r="A1127" t="s">
        <v>1139</v>
      </c>
      <c r="B1127" s="5" t="s">
        <v>4597</v>
      </c>
      <c r="C1127" s="6" t="s">
        <v>2329</v>
      </c>
      <c r="D1127" t="s">
        <v>2409</v>
      </c>
      <c r="E1127" s="5">
        <v>4</v>
      </c>
      <c r="F1127" s="5">
        <v>408.36</v>
      </c>
      <c r="G1127" s="6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7">
        <v>1633.44</v>
      </c>
    </row>
    <row r="1128" spans="1:14" x14ac:dyDescent="0.2">
      <c r="A1128" t="s">
        <v>1140</v>
      </c>
      <c r="B1128" s="5" t="s">
        <v>4486</v>
      </c>
      <c r="C1128" s="6" t="s">
        <v>2330</v>
      </c>
      <c r="D1128" t="s">
        <v>2404</v>
      </c>
      <c r="E1128" s="5">
        <v>5</v>
      </c>
      <c r="F1128" s="5">
        <v>190.11</v>
      </c>
      <c r="G1128" s="6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5">
        <v>950.55</v>
      </c>
    </row>
    <row r="1129" spans="1:14" x14ac:dyDescent="0.2">
      <c r="A1129" t="s">
        <v>1141</v>
      </c>
      <c r="B1129" s="5" t="s">
        <v>4405</v>
      </c>
      <c r="C1129" s="6" t="s">
        <v>2331</v>
      </c>
      <c r="D1129" t="s">
        <v>2407</v>
      </c>
      <c r="E1129" s="5">
        <v>3</v>
      </c>
      <c r="F1129" s="5">
        <v>602.75</v>
      </c>
      <c r="G1129" s="6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7">
        <v>1808.25</v>
      </c>
    </row>
    <row r="1130" spans="1:14" x14ac:dyDescent="0.2">
      <c r="A1130" t="s">
        <v>1142</v>
      </c>
      <c r="B1130" s="5" t="s">
        <v>4619</v>
      </c>
      <c r="C1130" s="6" t="s">
        <v>2332</v>
      </c>
      <c r="D1130" t="s">
        <v>2403</v>
      </c>
      <c r="E1130" s="5">
        <v>3</v>
      </c>
      <c r="F1130" s="5">
        <v>646.79</v>
      </c>
      <c r="G1130" s="6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7">
        <v>1940.37</v>
      </c>
    </row>
    <row r="1131" spans="1:14" x14ac:dyDescent="0.2">
      <c r="A1131" t="s">
        <v>1143</v>
      </c>
      <c r="B1131" s="4">
        <v>45236</v>
      </c>
      <c r="C1131" s="6" t="s">
        <v>2333</v>
      </c>
      <c r="D1131" t="s">
        <v>2406</v>
      </c>
      <c r="E1131" s="5">
        <v>4</v>
      </c>
      <c r="F1131" s="5">
        <v>418.71</v>
      </c>
      <c r="G1131" s="6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7">
        <v>1674.84</v>
      </c>
    </row>
    <row r="1132" spans="1:14" x14ac:dyDescent="0.2">
      <c r="A1132" t="s">
        <v>1144</v>
      </c>
      <c r="B1132" s="5" t="s">
        <v>4696</v>
      </c>
      <c r="C1132" s="6" t="s">
        <v>2334</v>
      </c>
      <c r="D1132" t="s">
        <v>2408</v>
      </c>
      <c r="E1132" s="5">
        <v>2</v>
      </c>
      <c r="F1132" s="5">
        <v>323.45</v>
      </c>
      <c r="G1132" s="6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5">
        <v>646.9</v>
      </c>
    </row>
    <row r="1133" spans="1:14" x14ac:dyDescent="0.2">
      <c r="A1133" t="s">
        <v>1145</v>
      </c>
      <c r="B1133" s="5" t="s">
        <v>4543</v>
      </c>
      <c r="C1133" s="6" t="s">
        <v>2335</v>
      </c>
      <c r="D1133" t="s">
        <v>2404</v>
      </c>
      <c r="E1133" s="5">
        <v>1</v>
      </c>
      <c r="F1133" s="5">
        <v>694.5</v>
      </c>
      <c r="G1133" s="6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5">
        <v>694.5</v>
      </c>
    </row>
    <row r="1134" spans="1:14" x14ac:dyDescent="0.2">
      <c r="A1134" t="s">
        <v>1146</v>
      </c>
      <c r="B1134" s="4">
        <v>45334</v>
      </c>
      <c r="C1134" s="6" t="s">
        <v>2336</v>
      </c>
      <c r="D1134" t="s">
        <v>2406</v>
      </c>
      <c r="E1134" s="5">
        <v>2</v>
      </c>
      <c r="F1134" s="5">
        <v>337.32</v>
      </c>
      <c r="G1134" s="6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5">
        <v>674.64</v>
      </c>
    </row>
    <row r="1135" spans="1:14" x14ac:dyDescent="0.2">
      <c r="A1135" t="s">
        <v>1147</v>
      </c>
      <c r="B1135" s="4">
        <v>45539</v>
      </c>
      <c r="C1135" s="6" t="s">
        <v>2337</v>
      </c>
      <c r="D1135" t="s">
        <v>2407</v>
      </c>
      <c r="E1135" s="5">
        <v>2</v>
      </c>
      <c r="F1135" s="5">
        <v>467.91</v>
      </c>
      <c r="G1135" s="6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5">
        <v>935.82</v>
      </c>
    </row>
    <row r="1136" spans="1:14" x14ac:dyDescent="0.2">
      <c r="A1136" t="s">
        <v>1148</v>
      </c>
      <c r="B1136" s="4">
        <v>45510</v>
      </c>
      <c r="C1136" s="6" t="s">
        <v>2338</v>
      </c>
      <c r="D1136" t="s">
        <v>2409</v>
      </c>
      <c r="E1136" s="5">
        <v>4</v>
      </c>
      <c r="F1136" s="5">
        <v>38.28</v>
      </c>
      <c r="G1136" s="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5">
        <v>153.12</v>
      </c>
    </row>
    <row r="1137" spans="1:14" x14ac:dyDescent="0.2">
      <c r="A1137" t="s">
        <v>1149</v>
      </c>
      <c r="B1137" s="5" t="s">
        <v>4394</v>
      </c>
      <c r="C1137" s="6" t="s">
        <v>2339</v>
      </c>
      <c r="D1137" t="s">
        <v>2407</v>
      </c>
      <c r="E1137" s="5">
        <v>2</v>
      </c>
      <c r="F1137" s="5">
        <v>73.41</v>
      </c>
      <c r="G1137" s="6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5">
        <v>146.82</v>
      </c>
    </row>
    <row r="1138" spans="1:14" x14ac:dyDescent="0.2">
      <c r="A1138" t="s">
        <v>1150</v>
      </c>
      <c r="B1138" s="5" t="s">
        <v>4572</v>
      </c>
      <c r="C1138" s="6" t="s">
        <v>2340</v>
      </c>
      <c r="D1138" t="s">
        <v>2405</v>
      </c>
      <c r="E1138" s="5">
        <v>3</v>
      </c>
      <c r="F1138" s="5">
        <v>668.33</v>
      </c>
      <c r="G1138" s="6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7">
        <v>2004.99</v>
      </c>
    </row>
    <row r="1139" spans="1:14" x14ac:dyDescent="0.2">
      <c r="A1139" t="s">
        <v>1151</v>
      </c>
      <c r="B1139" s="5" t="s">
        <v>4602</v>
      </c>
      <c r="C1139" s="6" t="s">
        <v>2341</v>
      </c>
      <c r="D1139" t="s">
        <v>2407</v>
      </c>
      <c r="E1139" s="5">
        <v>4</v>
      </c>
      <c r="F1139" s="5">
        <v>410.21</v>
      </c>
      <c r="G1139" s="6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7">
        <v>1640.84</v>
      </c>
    </row>
    <row r="1140" spans="1:14" x14ac:dyDescent="0.2">
      <c r="A1140" t="s">
        <v>1152</v>
      </c>
      <c r="B1140" s="5" t="s">
        <v>4629</v>
      </c>
      <c r="C1140" s="6" t="s">
        <v>2342</v>
      </c>
      <c r="D1140" t="s">
        <v>2409</v>
      </c>
      <c r="E1140" s="5">
        <v>4</v>
      </c>
      <c r="F1140" s="5">
        <v>294.41000000000003</v>
      </c>
      <c r="G1140" s="6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4299</v>
      </c>
      <c r="M1140" t="s">
        <v>4278</v>
      </c>
      <c r="N1140" s="7">
        <v>1177.6400000000001</v>
      </c>
    </row>
    <row r="1141" spans="1:14" x14ac:dyDescent="0.2">
      <c r="A1141" t="s">
        <v>1153</v>
      </c>
      <c r="B1141" s="4">
        <v>45660</v>
      </c>
      <c r="C1141" s="6" t="s">
        <v>2256</v>
      </c>
      <c r="D1141" t="s">
        <v>2406</v>
      </c>
      <c r="E1141" s="5">
        <v>3</v>
      </c>
      <c r="F1141" s="5">
        <v>501.82</v>
      </c>
      <c r="G1141" s="6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7">
        <v>1505.46</v>
      </c>
    </row>
    <row r="1142" spans="1:14" x14ac:dyDescent="0.2">
      <c r="A1142" t="s">
        <v>1154</v>
      </c>
      <c r="B1142" s="5" t="s">
        <v>4697</v>
      </c>
      <c r="C1142" s="6" t="s">
        <v>2343</v>
      </c>
      <c r="D1142" t="s">
        <v>2407</v>
      </c>
      <c r="E1142" s="5">
        <v>2</v>
      </c>
      <c r="F1142" s="5">
        <v>552.83000000000004</v>
      </c>
      <c r="G1142" s="6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4299</v>
      </c>
      <c r="M1142" t="s">
        <v>4279</v>
      </c>
      <c r="N1142" s="7">
        <v>1105.6600000000001</v>
      </c>
    </row>
    <row r="1143" spans="1:14" x14ac:dyDescent="0.2">
      <c r="A1143" t="s">
        <v>1155</v>
      </c>
      <c r="B1143" s="5" t="s">
        <v>4696</v>
      </c>
      <c r="C1143" s="6" t="s">
        <v>2344</v>
      </c>
      <c r="D1143" t="s">
        <v>2406</v>
      </c>
      <c r="E1143" s="5">
        <v>3</v>
      </c>
      <c r="F1143" s="5">
        <v>498.66</v>
      </c>
      <c r="G1143" s="6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4299</v>
      </c>
      <c r="M1143" t="s">
        <v>4280</v>
      </c>
      <c r="N1143" s="7">
        <v>1495.98</v>
      </c>
    </row>
    <row r="1144" spans="1:14" x14ac:dyDescent="0.2">
      <c r="A1144" t="s">
        <v>1156</v>
      </c>
      <c r="B1144" s="5" t="s">
        <v>4294</v>
      </c>
      <c r="C1144" s="6" t="s">
        <v>2345</v>
      </c>
      <c r="D1144" t="s">
        <v>2404</v>
      </c>
      <c r="E1144" s="5">
        <v>4</v>
      </c>
      <c r="F1144" s="5">
        <v>695.1</v>
      </c>
      <c r="G1144" s="6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4299</v>
      </c>
      <c r="M1144" t="s">
        <v>4280</v>
      </c>
      <c r="N1144" s="7">
        <v>2780.4</v>
      </c>
    </row>
    <row r="1145" spans="1:14" x14ac:dyDescent="0.2">
      <c r="A1145" t="s">
        <v>1157</v>
      </c>
      <c r="B1145" s="4">
        <v>44989</v>
      </c>
      <c r="C1145" s="6" t="s">
        <v>2346</v>
      </c>
      <c r="D1145" t="s">
        <v>2406</v>
      </c>
      <c r="E1145" s="5">
        <v>1</v>
      </c>
      <c r="F1145" s="5">
        <v>381.61</v>
      </c>
      <c r="G1145" s="6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4299</v>
      </c>
      <c r="M1145" t="s">
        <v>4280</v>
      </c>
      <c r="N1145" s="5">
        <v>381.61</v>
      </c>
    </row>
    <row r="1146" spans="1:14" x14ac:dyDescent="0.2">
      <c r="A1146" t="s">
        <v>1158</v>
      </c>
      <c r="B1146" s="5" t="s">
        <v>4433</v>
      </c>
      <c r="C1146" s="6" t="s">
        <v>2347</v>
      </c>
      <c r="D1146" t="s">
        <v>2409</v>
      </c>
      <c r="E1146" s="5">
        <v>5</v>
      </c>
      <c r="F1146" s="5">
        <v>507.94</v>
      </c>
      <c r="G1146" s="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4299</v>
      </c>
      <c r="M1146" t="s">
        <v>4281</v>
      </c>
      <c r="N1146" s="7">
        <v>2539.6999999999998</v>
      </c>
    </row>
    <row r="1147" spans="1:14" x14ac:dyDescent="0.2">
      <c r="A1147" t="s">
        <v>1159</v>
      </c>
      <c r="B1147" s="4">
        <v>45996</v>
      </c>
      <c r="C1147" s="6" t="s">
        <v>2348</v>
      </c>
      <c r="D1147" t="s">
        <v>2409</v>
      </c>
      <c r="E1147" s="5">
        <v>3</v>
      </c>
      <c r="F1147" s="5">
        <v>571.53</v>
      </c>
      <c r="G1147" s="6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7">
        <v>1714.59</v>
      </c>
    </row>
    <row r="1148" spans="1:14" x14ac:dyDescent="0.2">
      <c r="A1148" t="s">
        <v>1160</v>
      </c>
      <c r="B1148" s="4">
        <v>45361</v>
      </c>
      <c r="C1148" s="6" t="s">
        <v>2349</v>
      </c>
      <c r="D1148" t="s">
        <v>2403</v>
      </c>
      <c r="E1148" s="5">
        <v>5</v>
      </c>
      <c r="F1148" s="5">
        <v>421.44</v>
      </c>
      <c r="G1148" s="6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7">
        <v>2107.1999999999998</v>
      </c>
    </row>
    <row r="1149" spans="1:14" x14ac:dyDescent="0.2">
      <c r="A1149" t="s">
        <v>1161</v>
      </c>
      <c r="B1149" s="4">
        <v>45689</v>
      </c>
      <c r="C1149" s="6" t="s">
        <v>2350</v>
      </c>
      <c r="D1149" t="s">
        <v>2406</v>
      </c>
      <c r="E1149" s="5">
        <v>2</v>
      </c>
      <c r="F1149" s="5">
        <v>588.29999999999995</v>
      </c>
      <c r="G1149" s="6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7">
        <v>1176.5999999999999</v>
      </c>
    </row>
    <row r="1150" spans="1:14" x14ac:dyDescent="0.2">
      <c r="A1150" t="s">
        <v>1162</v>
      </c>
      <c r="B1150" s="5" t="s">
        <v>4667</v>
      </c>
      <c r="C1150" s="6" t="s">
        <v>2351</v>
      </c>
      <c r="D1150" t="s">
        <v>2404</v>
      </c>
      <c r="E1150" s="5">
        <v>1</v>
      </c>
      <c r="F1150" s="5">
        <v>355.15</v>
      </c>
      <c r="G1150" s="6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5">
        <v>355.15</v>
      </c>
    </row>
    <row r="1151" spans="1:14" x14ac:dyDescent="0.2">
      <c r="A1151" t="s">
        <v>1163</v>
      </c>
      <c r="B1151" s="5" t="s">
        <v>4638</v>
      </c>
      <c r="C1151" s="6" t="s">
        <v>2352</v>
      </c>
      <c r="D1151" t="s">
        <v>2406</v>
      </c>
      <c r="E1151" s="5">
        <v>2</v>
      </c>
      <c r="F1151" s="5">
        <v>695.29</v>
      </c>
      <c r="G1151" s="6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7">
        <v>1390.58</v>
      </c>
    </row>
    <row r="1152" spans="1:14" x14ac:dyDescent="0.2">
      <c r="A1152" t="s">
        <v>1164</v>
      </c>
      <c r="B1152" s="5" t="s">
        <v>4429</v>
      </c>
      <c r="C1152" s="6" t="s">
        <v>2353</v>
      </c>
      <c r="D1152" t="s">
        <v>2409</v>
      </c>
      <c r="E1152" s="5">
        <v>4</v>
      </c>
      <c r="F1152" s="5">
        <v>302.64999999999998</v>
      </c>
      <c r="G1152" s="6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7">
        <v>1210.5999999999999</v>
      </c>
    </row>
    <row r="1153" spans="1:14" x14ac:dyDescent="0.2">
      <c r="A1153" t="s">
        <v>1165</v>
      </c>
      <c r="B1153" s="5" t="s">
        <v>4311</v>
      </c>
      <c r="C1153" s="6" t="s">
        <v>2354</v>
      </c>
      <c r="D1153" t="s">
        <v>2406</v>
      </c>
      <c r="E1153" s="5">
        <v>2</v>
      </c>
      <c r="F1153" s="5">
        <v>608.04</v>
      </c>
      <c r="G1153" s="6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4299</v>
      </c>
      <c r="M1153" t="s">
        <v>4282</v>
      </c>
      <c r="N1153" s="7">
        <v>1216.08</v>
      </c>
    </row>
    <row r="1154" spans="1:14" x14ac:dyDescent="0.2">
      <c r="A1154" t="s">
        <v>1166</v>
      </c>
      <c r="B1154" s="4">
        <v>45180</v>
      </c>
      <c r="C1154" s="6" t="s">
        <v>2355</v>
      </c>
      <c r="D1154" t="s">
        <v>2405</v>
      </c>
      <c r="E1154" s="5">
        <v>2</v>
      </c>
      <c r="F1154" s="5">
        <v>344.18</v>
      </c>
      <c r="G1154" s="6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4299</v>
      </c>
      <c r="M1154" t="s">
        <v>4279</v>
      </c>
      <c r="N1154" s="5">
        <v>688.36</v>
      </c>
    </row>
    <row r="1155" spans="1:14" x14ac:dyDescent="0.2">
      <c r="A1155" t="s">
        <v>1167</v>
      </c>
      <c r="B1155" s="5" t="s">
        <v>4533</v>
      </c>
      <c r="C1155" s="6" t="s">
        <v>2356</v>
      </c>
      <c r="D1155" t="s">
        <v>2403</v>
      </c>
      <c r="E1155" s="5">
        <v>4</v>
      </c>
      <c r="F1155" s="5">
        <v>696.71</v>
      </c>
      <c r="G1155" s="6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4299</v>
      </c>
      <c r="M1155" t="s">
        <v>4278</v>
      </c>
      <c r="N1155" s="7">
        <v>2786.84</v>
      </c>
    </row>
    <row r="1156" spans="1:14" x14ac:dyDescent="0.2">
      <c r="A1156" t="s">
        <v>1168</v>
      </c>
      <c r="B1156" s="4">
        <v>45967</v>
      </c>
      <c r="C1156" s="6" t="s">
        <v>2357</v>
      </c>
      <c r="D1156" t="s">
        <v>2403</v>
      </c>
      <c r="E1156" s="5">
        <v>3</v>
      </c>
      <c r="F1156" s="5">
        <v>198.63</v>
      </c>
      <c r="G1156" s="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5">
        <v>595.89</v>
      </c>
    </row>
    <row r="1157" spans="1:14" x14ac:dyDescent="0.2">
      <c r="A1157" t="s">
        <v>1169</v>
      </c>
      <c r="B1157" s="5" t="s">
        <v>4499</v>
      </c>
      <c r="C1157" s="6" t="s">
        <v>2358</v>
      </c>
      <c r="D1157" t="s">
        <v>2407</v>
      </c>
      <c r="E1157" s="5">
        <v>4</v>
      </c>
      <c r="F1157" s="5">
        <v>534.57000000000005</v>
      </c>
      <c r="G1157" s="6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7">
        <v>2138.2800000000002</v>
      </c>
    </row>
    <row r="1158" spans="1:14" x14ac:dyDescent="0.2">
      <c r="A1158" t="s">
        <v>1170</v>
      </c>
      <c r="B1158" s="5" t="s">
        <v>4325</v>
      </c>
      <c r="C1158" s="6" t="s">
        <v>2359</v>
      </c>
      <c r="D1158" t="s">
        <v>2408</v>
      </c>
      <c r="E1158" s="5">
        <v>4</v>
      </c>
      <c r="F1158" s="5">
        <v>690.78</v>
      </c>
      <c r="G1158" s="6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4299</v>
      </c>
      <c r="M1158" t="s">
        <v>4279</v>
      </c>
      <c r="N1158" s="7">
        <v>2763.12</v>
      </c>
    </row>
    <row r="1159" spans="1:14" x14ac:dyDescent="0.2">
      <c r="A1159" t="s">
        <v>1171</v>
      </c>
      <c r="B1159" s="5" t="s">
        <v>4526</v>
      </c>
      <c r="C1159" s="6" t="s">
        <v>2360</v>
      </c>
      <c r="D1159" t="s">
        <v>2403</v>
      </c>
      <c r="E1159" s="5">
        <v>3</v>
      </c>
      <c r="F1159" s="5">
        <v>301.55</v>
      </c>
      <c r="G1159" s="6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5">
        <v>904.65</v>
      </c>
    </row>
    <row r="1160" spans="1:14" x14ac:dyDescent="0.2">
      <c r="A1160" t="s">
        <v>1172</v>
      </c>
      <c r="B1160" s="5" t="s">
        <v>4415</v>
      </c>
      <c r="C1160" s="6" t="s">
        <v>2361</v>
      </c>
      <c r="D1160" t="s">
        <v>2403</v>
      </c>
      <c r="E1160" s="5">
        <v>4</v>
      </c>
      <c r="F1160" s="5">
        <v>27.42</v>
      </c>
      <c r="G1160" s="6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5">
        <v>109.68</v>
      </c>
    </row>
    <row r="1161" spans="1:14" x14ac:dyDescent="0.2">
      <c r="A1161" t="s">
        <v>1173</v>
      </c>
      <c r="B1161" s="5" t="s">
        <v>4420</v>
      </c>
      <c r="C1161" s="6" t="s">
        <v>2362</v>
      </c>
      <c r="D1161" t="s">
        <v>2409</v>
      </c>
      <c r="E1161" s="5">
        <v>4</v>
      </c>
      <c r="F1161" s="5">
        <v>466.7</v>
      </c>
      <c r="G1161" s="6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4299</v>
      </c>
      <c r="M1161" t="s">
        <v>4278</v>
      </c>
      <c r="N1161" s="7">
        <v>1866.8</v>
      </c>
    </row>
    <row r="1162" spans="1:14" x14ac:dyDescent="0.2">
      <c r="A1162" t="s">
        <v>1174</v>
      </c>
      <c r="B1162" s="4">
        <v>45391</v>
      </c>
      <c r="C1162" s="6" t="s">
        <v>2363</v>
      </c>
      <c r="D1162" t="s">
        <v>2409</v>
      </c>
      <c r="E1162" s="5">
        <v>1</v>
      </c>
      <c r="F1162" s="5">
        <v>541.64</v>
      </c>
      <c r="G1162" s="6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5">
        <v>541.64</v>
      </c>
    </row>
    <row r="1163" spans="1:14" x14ac:dyDescent="0.2">
      <c r="A1163" t="s">
        <v>1175</v>
      </c>
      <c r="B1163" s="5" t="s">
        <v>4597</v>
      </c>
      <c r="C1163" s="6" t="s">
        <v>2364</v>
      </c>
      <c r="D1163" t="s">
        <v>2404</v>
      </c>
      <c r="E1163" s="5">
        <v>1</v>
      </c>
      <c r="F1163" s="5">
        <v>11.39</v>
      </c>
      <c r="G1163" s="6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5">
        <v>11.39</v>
      </c>
    </row>
    <row r="1164" spans="1:14" x14ac:dyDescent="0.2">
      <c r="A1164" t="s">
        <v>1176</v>
      </c>
      <c r="B1164" s="4">
        <v>45964</v>
      </c>
      <c r="C1164" s="6" t="s">
        <v>2365</v>
      </c>
      <c r="D1164" t="s">
        <v>2404</v>
      </c>
      <c r="E1164" s="5">
        <v>2</v>
      </c>
      <c r="F1164" s="5">
        <v>224.37</v>
      </c>
      <c r="G1164" s="6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5">
        <v>448.74</v>
      </c>
    </row>
    <row r="1165" spans="1:14" x14ac:dyDescent="0.2">
      <c r="A1165" t="s">
        <v>1177</v>
      </c>
      <c r="B1165" s="4">
        <v>45602</v>
      </c>
      <c r="C1165" s="6" t="s">
        <v>2366</v>
      </c>
      <c r="D1165" t="s">
        <v>2408</v>
      </c>
      <c r="E1165" s="5">
        <v>3</v>
      </c>
      <c r="F1165" s="5">
        <v>306.29000000000002</v>
      </c>
      <c r="G1165" s="6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5">
        <v>918.87</v>
      </c>
    </row>
    <row r="1166" spans="1:14" x14ac:dyDescent="0.2">
      <c r="A1166" t="s">
        <v>1178</v>
      </c>
      <c r="B1166" s="4">
        <v>45505</v>
      </c>
      <c r="C1166" s="6" t="s">
        <v>2367</v>
      </c>
      <c r="D1166" t="s">
        <v>2405</v>
      </c>
      <c r="E1166" s="5">
        <v>5</v>
      </c>
      <c r="F1166" s="5">
        <v>315.57</v>
      </c>
      <c r="G1166" s="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7">
        <v>1577.85</v>
      </c>
    </row>
    <row r="1167" spans="1:14" x14ac:dyDescent="0.2">
      <c r="A1167" t="s">
        <v>1179</v>
      </c>
      <c r="B1167" s="5" t="s">
        <v>4493</v>
      </c>
      <c r="C1167" s="6" t="s">
        <v>2368</v>
      </c>
      <c r="D1167" t="s">
        <v>2406</v>
      </c>
      <c r="E1167" s="5">
        <v>3</v>
      </c>
      <c r="F1167" s="5">
        <v>223.79</v>
      </c>
      <c r="G1167" s="6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4299</v>
      </c>
      <c r="M1167" t="s">
        <v>4282</v>
      </c>
      <c r="N1167" s="5">
        <v>671.37</v>
      </c>
    </row>
    <row r="1168" spans="1:14" x14ac:dyDescent="0.2">
      <c r="A1168" t="s">
        <v>1180</v>
      </c>
      <c r="B1168" s="5" t="s">
        <v>4327</v>
      </c>
      <c r="C1168" s="6" t="s">
        <v>2369</v>
      </c>
      <c r="D1168" t="s">
        <v>2406</v>
      </c>
      <c r="E1168" s="5">
        <v>3</v>
      </c>
      <c r="F1168" s="5">
        <v>324.47000000000003</v>
      </c>
      <c r="G1168" s="6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5">
        <v>973.41</v>
      </c>
    </row>
    <row r="1169" spans="1:14" x14ac:dyDescent="0.2">
      <c r="A1169" t="s">
        <v>1181</v>
      </c>
      <c r="B1169" s="5" t="s">
        <v>4698</v>
      </c>
      <c r="C1169" s="6" t="s">
        <v>2370</v>
      </c>
      <c r="D1169" t="s">
        <v>2407</v>
      </c>
      <c r="E1169" s="5">
        <v>2</v>
      </c>
      <c r="F1169" s="5">
        <v>92.87</v>
      </c>
      <c r="G1169" s="6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5">
        <v>185.74</v>
      </c>
    </row>
    <row r="1170" spans="1:14" x14ac:dyDescent="0.2">
      <c r="A1170" t="s">
        <v>1182</v>
      </c>
      <c r="B1170" s="4">
        <v>45142</v>
      </c>
      <c r="C1170" s="6" t="s">
        <v>2371</v>
      </c>
      <c r="D1170" t="s">
        <v>2408</v>
      </c>
      <c r="E1170" s="5">
        <v>2</v>
      </c>
      <c r="F1170" s="5">
        <v>331.42</v>
      </c>
      <c r="G1170" s="6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5">
        <v>662.84</v>
      </c>
    </row>
    <row r="1171" spans="1:14" x14ac:dyDescent="0.2">
      <c r="A1171" t="s">
        <v>1183</v>
      </c>
      <c r="B1171" s="5" t="s">
        <v>4699</v>
      </c>
      <c r="C1171" s="6" t="s">
        <v>2372</v>
      </c>
      <c r="D1171" t="s">
        <v>2406</v>
      </c>
      <c r="E1171" s="5">
        <v>1</v>
      </c>
      <c r="F1171" s="5">
        <v>525.42999999999995</v>
      </c>
      <c r="G1171" s="6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5">
        <v>525.42999999999995</v>
      </c>
    </row>
    <row r="1172" spans="1:14" x14ac:dyDescent="0.2">
      <c r="A1172" t="s">
        <v>1184</v>
      </c>
      <c r="B1172" s="4">
        <v>44993</v>
      </c>
      <c r="C1172" s="6" t="s">
        <v>2373</v>
      </c>
      <c r="D1172" t="s">
        <v>2407</v>
      </c>
      <c r="E1172" s="5">
        <v>2</v>
      </c>
      <c r="F1172" s="5">
        <v>697.19</v>
      </c>
      <c r="G1172" s="6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7">
        <v>1394.38</v>
      </c>
    </row>
    <row r="1173" spans="1:14" x14ac:dyDescent="0.2">
      <c r="A1173" t="s">
        <v>1185</v>
      </c>
      <c r="B1173" s="5" t="s">
        <v>4348</v>
      </c>
      <c r="C1173" s="6" t="s">
        <v>2374</v>
      </c>
      <c r="D1173" t="s">
        <v>2404</v>
      </c>
      <c r="E1173" s="5">
        <v>4</v>
      </c>
      <c r="F1173" s="5">
        <v>518.4</v>
      </c>
      <c r="G1173" s="6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7">
        <v>2073.6</v>
      </c>
    </row>
    <row r="1174" spans="1:14" x14ac:dyDescent="0.2">
      <c r="A1174" t="s">
        <v>1186</v>
      </c>
      <c r="B1174" s="4">
        <v>45749</v>
      </c>
      <c r="C1174" s="6" t="s">
        <v>2375</v>
      </c>
      <c r="D1174" t="s">
        <v>2409</v>
      </c>
      <c r="E1174" s="5">
        <v>3</v>
      </c>
      <c r="F1174" s="5">
        <v>131.96</v>
      </c>
      <c r="G1174" s="6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4299</v>
      </c>
      <c r="M1174" t="s">
        <v>4278</v>
      </c>
      <c r="N1174" s="5">
        <v>395.88</v>
      </c>
    </row>
    <row r="1175" spans="1:14" x14ac:dyDescent="0.2">
      <c r="A1175" t="s">
        <v>1187</v>
      </c>
      <c r="B1175" s="4">
        <v>45392</v>
      </c>
      <c r="C1175" s="6" t="s">
        <v>2376</v>
      </c>
      <c r="D1175" t="s">
        <v>2403</v>
      </c>
      <c r="E1175" s="5">
        <v>1</v>
      </c>
      <c r="F1175" s="5">
        <v>208.36</v>
      </c>
      <c r="G1175" s="6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5">
        <v>208.36</v>
      </c>
    </row>
    <row r="1176" spans="1:14" x14ac:dyDescent="0.2">
      <c r="A1176" t="s">
        <v>1188</v>
      </c>
      <c r="B1176" s="5" t="s">
        <v>4366</v>
      </c>
      <c r="C1176" s="6" t="s">
        <v>2377</v>
      </c>
      <c r="D1176" t="s">
        <v>2407</v>
      </c>
      <c r="E1176" s="5">
        <v>3</v>
      </c>
      <c r="F1176" s="5">
        <v>222.34</v>
      </c>
      <c r="G1176" s="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5">
        <v>667.02</v>
      </c>
    </row>
    <row r="1177" spans="1:14" x14ac:dyDescent="0.2">
      <c r="A1177" t="s">
        <v>1189</v>
      </c>
      <c r="B1177" s="4">
        <v>45574</v>
      </c>
      <c r="C1177" s="6" t="s">
        <v>2378</v>
      </c>
      <c r="D1177" t="s">
        <v>2407</v>
      </c>
      <c r="E1177" s="5">
        <v>3</v>
      </c>
      <c r="F1177" s="5">
        <v>91.74</v>
      </c>
      <c r="G1177" s="6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5">
        <v>275.22000000000003</v>
      </c>
    </row>
    <row r="1178" spans="1:14" x14ac:dyDescent="0.2">
      <c r="A1178" t="s">
        <v>1190</v>
      </c>
      <c r="B1178" s="5" t="s">
        <v>4499</v>
      </c>
      <c r="C1178" s="6" t="s">
        <v>2379</v>
      </c>
      <c r="D1178" t="s">
        <v>2405</v>
      </c>
      <c r="E1178" s="5">
        <v>2</v>
      </c>
      <c r="F1178" s="5">
        <v>213.83</v>
      </c>
      <c r="G1178" s="6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5">
        <v>427.66</v>
      </c>
    </row>
    <row r="1179" spans="1:14" x14ac:dyDescent="0.2">
      <c r="A1179" t="s">
        <v>1191</v>
      </c>
      <c r="B1179" s="5" t="s">
        <v>4700</v>
      </c>
      <c r="C1179" s="6" t="s">
        <v>2380</v>
      </c>
      <c r="D1179" t="s">
        <v>2407</v>
      </c>
      <c r="E1179" s="5">
        <v>1</v>
      </c>
      <c r="F1179" s="5">
        <v>127.55</v>
      </c>
      <c r="G1179" s="6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5">
        <v>127.55</v>
      </c>
    </row>
    <row r="1180" spans="1:14" x14ac:dyDescent="0.2">
      <c r="A1180" t="s">
        <v>1192</v>
      </c>
      <c r="B1180" s="4">
        <v>45513</v>
      </c>
      <c r="C1180" s="6" t="s">
        <v>2381</v>
      </c>
      <c r="D1180" t="s">
        <v>2403</v>
      </c>
      <c r="E1180" s="5">
        <v>1</v>
      </c>
      <c r="F1180" s="5">
        <v>70.239999999999995</v>
      </c>
      <c r="G1180" s="6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5">
        <v>70.239999999999995</v>
      </c>
    </row>
    <row r="1181" spans="1:14" x14ac:dyDescent="0.2">
      <c r="A1181" t="s">
        <v>1193</v>
      </c>
      <c r="B1181" s="4">
        <v>45139</v>
      </c>
      <c r="C1181" s="6" t="s">
        <v>2382</v>
      </c>
      <c r="D1181" t="s">
        <v>2408</v>
      </c>
      <c r="E1181" s="5">
        <v>5</v>
      </c>
      <c r="F1181" s="5">
        <v>518.54999999999995</v>
      </c>
      <c r="G1181" s="6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7">
        <v>2592.75</v>
      </c>
    </row>
    <row r="1182" spans="1:14" x14ac:dyDescent="0.2">
      <c r="A1182" t="s">
        <v>1194</v>
      </c>
      <c r="B1182" s="5" t="s">
        <v>4391</v>
      </c>
      <c r="C1182" s="6" t="s">
        <v>2383</v>
      </c>
      <c r="D1182" t="s">
        <v>2406</v>
      </c>
      <c r="E1182" s="5">
        <v>4</v>
      </c>
      <c r="F1182" s="5">
        <v>298.36</v>
      </c>
      <c r="G1182" s="6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7">
        <v>1193.44</v>
      </c>
    </row>
    <row r="1183" spans="1:14" x14ac:dyDescent="0.2">
      <c r="A1183" t="s">
        <v>1195</v>
      </c>
      <c r="B1183" s="5" t="s">
        <v>4393</v>
      </c>
      <c r="C1183" s="6" t="s">
        <v>2384</v>
      </c>
      <c r="D1183" t="s">
        <v>2409</v>
      </c>
      <c r="E1183" s="5">
        <v>3</v>
      </c>
      <c r="F1183" s="5">
        <v>158.74</v>
      </c>
      <c r="G1183" s="6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5">
        <v>476.22</v>
      </c>
    </row>
    <row r="1184" spans="1:14" x14ac:dyDescent="0.2">
      <c r="A1184" t="s">
        <v>1196</v>
      </c>
      <c r="B1184" s="5" t="s">
        <v>4630</v>
      </c>
      <c r="C1184" s="6" t="s">
        <v>2385</v>
      </c>
      <c r="D1184" t="s">
        <v>2406</v>
      </c>
      <c r="E1184" s="5">
        <v>2</v>
      </c>
      <c r="F1184" s="5">
        <v>420.29</v>
      </c>
      <c r="G1184" s="6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5">
        <v>840.58</v>
      </c>
    </row>
    <row r="1185" spans="1:14" x14ac:dyDescent="0.2">
      <c r="A1185" t="s">
        <v>1197</v>
      </c>
      <c r="B1185" s="4">
        <v>45050</v>
      </c>
      <c r="C1185" s="6" t="s">
        <v>2386</v>
      </c>
      <c r="D1185" t="s">
        <v>2409</v>
      </c>
      <c r="E1185" s="5">
        <v>1</v>
      </c>
      <c r="F1185" s="5">
        <v>281.52</v>
      </c>
      <c r="G1185" s="6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5">
        <v>281.52</v>
      </c>
    </row>
    <row r="1186" spans="1:14" x14ac:dyDescent="0.2">
      <c r="A1186" t="s">
        <v>1198</v>
      </c>
      <c r="B1186" s="5" t="s">
        <v>4666</v>
      </c>
      <c r="C1186" s="6" t="s">
        <v>2387</v>
      </c>
      <c r="D1186" t="s">
        <v>2408</v>
      </c>
      <c r="E1186" s="5">
        <v>1</v>
      </c>
      <c r="F1186" s="5">
        <v>204.08</v>
      </c>
      <c r="G1186" s="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4299</v>
      </c>
      <c r="M1186" t="s">
        <v>4282</v>
      </c>
      <c r="N1186" s="5">
        <v>204.08</v>
      </c>
    </row>
    <row r="1187" spans="1:14" x14ac:dyDescent="0.2">
      <c r="A1187" t="s">
        <v>1199</v>
      </c>
      <c r="B1187" s="4">
        <v>45511</v>
      </c>
      <c r="C1187" s="6" t="s">
        <v>2388</v>
      </c>
      <c r="D1187" t="s">
        <v>2406</v>
      </c>
      <c r="E1187" s="5">
        <v>1</v>
      </c>
      <c r="F1187" s="5">
        <v>343.31</v>
      </c>
      <c r="G1187" s="6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5">
        <v>343.31</v>
      </c>
    </row>
    <row r="1188" spans="1:14" x14ac:dyDescent="0.2">
      <c r="A1188" t="s">
        <v>1200</v>
      </c>
      <c r="B1188" s="5" t="s">
        <v>4380</v>
      </c>
      <c r="C1188" s="6" t="s">
        <v>2389</v>
      </c>
      <c r="D1188" t="s">
        <v>2403</v>
      </c>
      <c r="E1188" s="5">
        <v>1</v>
      </c>
      <c r="F1188" s="5">
        <v>163.32</v>
      </c>
      <c r="G1188" s="6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5">
        <v>163.32</v>
      </c>
    </row>
    <row r="1189" spans="1:14" x14ac:dyDescent="0.2">
      <c r="A1189" t="s">
        <v>1201</v>
      </c>
      <c r="B1189" s="5" t="s">
        <v>4422</v>
      </c>
      <c r="C1189" s="6" t="s">
        <v>2390</v>
      </c>
      <c r="D1189" t="s">
        <v>2409</v>
      </c>
      <c r="E1189" s="5">
        <v>2</v>
      </c>
      <c r="F1189" s="5">
        <v>184.6</v>
      </c>
      <c r="G1189" s="6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5">
        <v>369.2</v>
      </c>
    </row>
    <row r="1190" spans="1:14" x14ac:dyDescent="0.2">
      <c r="A1190" t="s">
        <v>1202</v>
      </c>
      <c r="B1190" s="4">
        <v>45117</v>
      </c>
      <c r="C1190" s="6" t="s">
        <v>2391</v>
      </c>
      <c r="D1190" t="s">
        <v>2407</v>
      </c>
      <c r="E1190" s="5">
        <v>2</v>
      </c>
      <c r="F1190" s="5">
        <v>371.29</v>
      </c>
      <c r="G1190" s="6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5">
        <v>742.58</v>
      </c>
    </row>
    <row r="1191" spans="1:14" x14ac:dyDescent="0.2">
      <c r="A1191" t="s">
        <v>1203</v>
      </c>
      <c r="B1191" s="5" t="s">
        <v>4701</v>
      </c>
      <c r="C1191" s="6" t="s">
        <v>2392</v>
      </c>
      <c r="D1191" t="s">
        <v>2405</v>
      </c>
      <c r="E1191" s="5">
        <v>5</v>
      </c>
      <c r="F1191" s="5">
        <v>389.22</v>
      </c>
      <c r="G1191" s="6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4299</v>
      </c>
      <c r="M1191" t="s">
        <v>4279</v>
      </c>
      <c r="N1191" s="7">
        <v>1946.1</v>
      </c>
    </row>
    <row r="1192" spans="1:14" x14ac:dyDescent="0.2">
      <c r="A1192" t="s">
        <v>1204</v>
      </c>
      <c r="B1192" s="4">
        <v>45875</v>
      </c>
      <c r="C1192" s="6" t="s">
        <v>2393</v>
      </c>
      <c r="D1192" t="s">
        <v>2409</v>
      </c>
      <c r="E1192" s="5">
        <v>3</v>
      </c>
      <c r="F1192" s="5">
        <v>616.39</v>
      </c>
      <c r="G1192" s="6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7">
        <v>1849.17</v>
      </c>
    </row>
    <row r="1193" spans="1:14" x14ac:dyDescent="0.2">
      <c r="A1193" t="s">
        <v>1205</v>
      </c>
      <c r="B1193" s="4">
        <v>45932</v>
      </c>
      <c r="C1193" s="6" t="s">
        <v>2394</v>
      </c>
      <c r="D1193" t="s">
        <v>2409</v>
      </c>
      <c r="E1193" s="5">
        <v>4</v>
      </c>
      <c r="F1193" s="5">
        <v>376.43</v>
      </c>
      <c r="G1193" s="6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7">
        <v>1505.72</v>
      </c>
    </row>
    <row r="1194" spans="1:14" x14ac:dyDescent="0.2">
      <c r="A1194" t="s">
        <v>1206</v>
      </c>
      <c r="B1194" s="5" t="s">
        <v>4494</v>
      </c>
      <c r="C1194" s="6" t="s">
        <v>2395</v>
      </c>
      <c r="D1194" t="s">
        <v>2406</v>
      </c>
      <c r="E1194" s="5">
        <v>3</v>
      </c>
      <c r="F1194" s="5">
        <v>432.85</v>
      </c>
      <c r="G1194" s="6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4299</v>
      </c>
      <c r="M1194" t="s">
        <v>4278</v>
      </c>
      <c r="N1194" s="7">
        <v>1298.55</v>
      </c>
    </row>
    <row r="1195" spans="1:14" x14ac:dyDescent="0.2">
      <c r="A1195" t="s">
        <v>1207</v>
      </c>
      <c r="B1195" s="5" t="s">
        <v>4702</v>
      </c>
      <c r="C1195" s="6" t="s">
        <v>2396</v>
      </c>
      <c r="D1195" t="s">
        <v>2405</v>
      </c>
      <c r="E1195" s="5">
        <v>1</v>
      </c>
      <c r="F1195" s="5">
        <v>687.89</v>
      </c>
      <c r="G1195" s="6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5">
        <v>687.89</v>
      </c>
    </row>
    <row r="1196" spans="1:14" x14ac:dyDescent="0.2">
      <c r="A1196" t="s">
        <v>1208</v>
      </c>
      <c r="B1196" s="5" t="s">
        <v>4670</v>
      </c>
      <c r="C1196" s="6" t="s">
        <v>2397</v>
      </c>
      <c r="D1196" t="s">
        <v>2407</v>
      </c>
      <c r="E1196" s="5">
        <v>3</v>
      </c>
      <c r="F1196" s="5">
        <v>189.44</v>
      </c>
      <c r="G1196" s="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5">
        <v>568.32000000000005</v>
      </c>
    </row>
    <row r="1197" spans="1:14" x14ac:dyDescent="0.2">
      <c r="A1197" t="s">
        <v>1209</v>
      </c>
      <c r="B1197" s="5" t="s">
        <v>4687</v>
      </c>
      <c r="C1197" s="6" t="s">
        <v>2398</v>
      </c>
      <c r="D1197" t="s">
        <v>2409</v>
      </c>
      <c r="E1197" s="5">
        <v>1</v>
      </c>
      <c r="F1197" s="5">
        <v>107.04</v>
      </c>
      <c r="G1197" s="6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5">
        <v>107.04</v>
      </c>
    </row>
    <row r="1198" spans="1:14" x14ac:dyDescent="0.2">
      <c r="A1198" t="s">
        <v>1210</v>
      </c>
      <c r="B1198" s="4">
        <v>45385</v>
      </c>
      <c r="C1198" s="6" t="s">
        <v>2399</v>
      </c>
      <c r="D1198" t="s">
        <v>2403</v>
      </c>
      <c r="E1198" s="5">
        <v>2</v>
      </c>
      <c r="F1198" s="5">
        <v>662.53</v>
      </c>
      <c r="G1198" s="6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4299</v>
      </c>
      <c r="M1198" t="s">
        <v>4281</v>
      </c>
      <c r="N1198" s="7">
        <v>1325.06</v>
      </c>
    </row>
    <row r="1199" spans="1:14" x14ac:dyDescent="0.2">
      <c r="A1199" t="s">
        <v>1211</v>
      </c>
      <c r="B1199" s="5" t="s">
        <v>4703</v>
      </c>
      <c r="C1199" s="6" t="s">
        <v>2400</v>
      </c>
      <c r="D1199" t="s">
        <v>2405</v>
      </c>
      <c r="E1199" s="5">
        <v>2</v>
      </c>
      <c r="F1199" s="5">
        <v>436.84</v>
      </c>
      <c r="G1199" s="6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5">
        <v>873.68</v>
      </c>
    </row>
    <row r="1200" spans="1:14" x14ac:dyDescent="0.2">
      <c r="A1200" t="s">
        <v>1212</v>
      </c>
      <c r="B1200" s="5" t="s">
        <v>4704</v>
      </c>
      <c r="C1200" s="6" t="s">
        <v>2401</v>
      </c>
      <c r="D1200" t="s">
        <v>2406</v>
      </c>
      <c r="E1200" s="5">
        <v>4</v>
      </c>
      <c r="F1200" s="5">
        <v>262.52</v>
      </c>
      <c r="G1200" s="6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7">
        <v>1050.08</v>
      </c>
    </row>
    <row r="1201" spans="1:14" x14ac:dyDescent="0.2">
      <c r="A1201" t="s">
        <v>1213</v>
      </c>
      <c r="B1201" s="4">
        <v>45236</v>
      </c>
      <c r="C1201" s="6" t="s">
        <v>2402</v>
      </c>
      <c r="D1201" t="s">
        <v>2405</v>
      </c>
      <c r="E1201" s="5">
        <v>4</v>
      </c>
      <c r="F1201" s="5">
        <v>560.58000000000004</v>
      </c>
      <c r="G1201" s="6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7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1783-EE6B-8C41-9E0B-E1C6FCDE9735}">
  <sheetPr>
    <tabColor theme="3"/>
  </sheetPr>
  <dimension ref="A1:T72"/>
  <sheetViews>
    <sheetView tabSelected="1" zoomScaleNormal="60" zoomScaleSheetLayoutView="100" workbookViewId="0">
      <selection activeCell="A7" sqref="A7"/>
    </sheetView>
  </sheetViews>
  <sheetFormatPr defaultRowHeight="15" x14ac:dyDescent="0.2"/>
  <cols>
    <col min="2" max="2" width="12.64453125" customWidth="1"/>
    <col min="3" max="3" width="11.02734375" customWidth="1"/>
  </cols>
  <sheetData>
    <row r="1" spans="1:20" x14ac:dyDescent="0.2">
      <c r="A1" s="11"/>
      <c r="B1" s="22" t="s">
        <v>4763</v>
      </c>
      <c r="C1" s="20"/>
      <c r="D1" s="20"/>
      <c r="E1" s="2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2">
      <c r="A2" s="11"/>
      <c r="B2" s="22"/>
      <c r="C2" s="20"/>
      <c r="D2" s="20"/>
      <c r="E2" s="2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2">
      <c r="A3" s="11" t="s">
        <v>4744</v>
      </c>
      <c r="B3" s="22" t="s">
        <v>4745</v>
      </c>
      <c r="C3" s="24"/>
      <c r="D3" s="20"/>
      <c r="E3" s="2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">
      <c r="A4" s="11"/>
      <c r="B4" s="23" t="s">
        <v>4752</v>
      </c>
      <c r="C4" s="20"/>
      <c r="D4" s="20"/>
      <c r="E4" s="2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x14ac:dyDescent="0.2">
      <c r="A5" s="11"/>
      <c r="B5" s="23" t="s">
        <v>4753</v>
      </c>
      <c r="C5" s="20"/>
      <c r="D5" s="20"/>
      <c r="E5" s="2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2">
      <c r="A6" s="11"/>
      <c r="B6" s="22" t="s">
        <v>4746</v>
      </c>
      <c r="C6" s="20"/>
      <c r="D6" s="20"/>
      <c r="E6" s="2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">
      <c r="A7" s="11"/>
      <c r="B7" s="23" t="s">
        <v>4747</v>
      </c>
      <c r="C7" s="20"/>
      <c r="D7" s="20"/>
      <c r="E7" s="2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">
      <c r="A8" s="11"/>
      <c r="B8" s="23" t="s">
        <v>4748</v>
      </c>
      <c r="C8" s="20"/>
      <c r="D8" s="20"/>
      <c r="E8" s="2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">
      <c r="A9" s="11"/>
      <c r="B9" s="23" t="s">
        <v>4749</v>
      </c>
      <c r="C9" s="20"/>
      <c r="D9" s="20"/>
      <c r="E9" s="2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">
      <c r="A10" s="11"/>
      <c r="B10" s="23" t="s">
        <v>4750</v>
      </c>
      <c r="C10" s="20"/>
      <c r="D10" s="20"/>
      <c r="E10" s="2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">
      <c r="A11" s="11"/>
      <c r="B11" s="23" t="s">
        <v>4751</v>
      </c>
      <c r="C11" s="20"/>
      <c r="D11" s="20"/>
      <c r="E11" s="2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">
      <c r="A12" s="11"/>
      <c r="B12" s="22" t="s">
        <v>4711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">
      <c r="A13" s="11"/>
      <c r="B13" s="11" t="s">
        <v>4754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">
      <c r="A14" s="11"/>
      <c r="B14" s="11" t="s">
        <v>4755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s="5" customFormat="1" x14ac:dyDescent="0.2">
      <c r="A15" s="13"/>
      <c r="B15" s="25" t="s">
        <v>4735</v>
      </c>
      <c r="C15" s="14" t="s">
        <v>4712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x14ac:dyDescent="0.2">
      <c r="A16" s="11"/>
      <c r="B16" s="11" t="s">
        <v>4713</v>
      </c>
      <c r="C16" s="13">
        <v>1200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">
      <c r="A17" s="11"/>
      <c r="B17" s="11" t="s">
        <v>4714</v>
      </c>
      <c r="C17" s="15">
        <v>1053.97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">
      <c r="A18" s="11"/>
      <c r="B18" s="16" t="s">
        <v>4734</v>
      </c>
      <c r="C18" s="13">
        <v>823.62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">
      <c r="A19" s="11"/>
      <c r="B19" s="11" t="s">
        <v>4707</v>
      </c>
      <c r="C19" s="13">
        <v>410.52</v>
      </c>
      <c r="D19" s="11"/>
      <c r="E19" s="11"/>
      <c r="F19" s="2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1"/>
      <c r="B20" s="11" t="s">
        <v>4709</v>
      </c>
      <c r="C20" s="15">
        <v>1578.48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">
      <c r="A21" s="11"/>
      <c r="B21" s="22" t="s">
        <v>4715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">
      <c r="A22" s="11"/>
      <c r="B22" s="11" t="s">
        <v>4716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">
      <c r="A23" s="11"/>
      <c r="B23" s="11" t="s">
        <v>4717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">
      <c r="A24" s="11"/>
      <c r="B24" s="11" t="s">
        <v>4718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">
      <c r="A25" s="11"/>
      <c r="B25" s="22" t="s">
        <v>4719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s="11"/>
      <c r="B26" s="12" t="s">
        <v>4720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">
      <c r="A27" s="11"/>
      <c r="B27" s="11" t="s">
        <v>4721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">
      <c r="A28" s="11"/>
      <c r="B28" s="11" t="s">
        <v>4741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">
      <c r="A29" s="11"/>
      <c r="B29" s="11" t="s">
        <v>4722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">
      <c r="A30" s="11"/>
      <c r="B30" s="12" t="s">
        <v>4723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">
      <c r="A31" s="11"/>
      <c r="B31" s="11" t="s">
        <v>4724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">
      <c r="A32" s="11"/>
      <c r="B32" s="11" t="s">
        <v>4725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">
      <c r="A33" s="11"/>
      <c r="B33" s="11" t="s">
        <v>4758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">
      <c r="A34" s="11"/>
      <c r="B34" s="11" t="s">
        <v>4726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">
      <c r="A35" s="11"/>
      <c r="B35" s="11" t="s">
        <v>4738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">
      <c r="A36" s="11"/>
      <c r="B36" s="11" t="s">
        <v>4743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">
      <c r="A37" s="11"/>
      <c r="B37" s="11" t="s">
        <v>4727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s="5" customFormat="1" x14ac:dyDescent="0.2">
      <c r="A38" s="13"/>
      <c r="B38" s="14" t="s">
        <v>4728</v>
      </c>
      <c r="C38" s="14" t="s">
        <v>4729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x14ac:dyDescent="0.2">
      <c r="A39" s="11"/>
      <c r="B39" s="17" t="s">
        <v>803</v>
      </c>
      <c r="C39" s="13">
        <v>3456.4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">
      <c r="A40" s="11"/>
      <c r="B40" s="17" t="s">
        <v>1136</v>
      </c>
      <c r="C40" s="13">
        <v>3390.95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">
      <c r="A41" s="11"/>
      <c r="B41" s="17" t="s">
        <v>646</v>
      </c>
      <c r="C41" s="13">
        <v>3390.8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">
      <c r="A42" s="11"/>
      <c r="B42" s="17" t="s">
        <v>483</v>
      </c>
      <c r="C42" s="13">
        <v>3384.9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">
      <c r="A43" s="11"/>
      <c r="B43" s="17" t="s">
        <v>342</v>
      </c>
      <c r="C43" s="13">
        <v>3370.2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">
      <c r="A44" s="11"/>
      <c r="B44" s="17" t="s">
        <v>121</v>
      </c>
      <c r="C44" s="13">
        <v>3353.75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">
      <c r="A45" s="11"/>
      <c r="B45" s="17" t="s">
        <v>340</v>
      </c>
      <c r="C45" s="13">
        <v>3352.4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">
      <c r="A46" s="11"/>
      <c r="B46" s="17" t="s">
        <v>1079</v>
      </c>
      <c r="C46" s="13">
        <v>3334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">
      <c r="A47" s="11"/>
      <c r="B47" s="22" t="s">
        <v>4756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">
      <c r="A48" s="11"/>
      <c r="B48" s="11" t="s">
        <v>4730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">
      <c r="A49" s="11"/>
      <c r="B49" s="11" t="s">
        <v>4731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">
      <c r="A50" s="11"/>
      <c r="B50" s="11" t="s">
        <v>4757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">
      <c r="A51" s="11"/>
      <c r="B51" s="11" t="s">
        <v>4742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">
      <c r="A52" s="11"/>
      <c r="B52" s="11" t="s">
        <v>4732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">
      <c r="A53" s="11"/>
      <c r="B53" s="22" t="s">
        <v>4733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s="19" customFormat="1" x14ac:dyDescent="0.2">
      <c r="A54" s="18"/>
      <c r="B54" s="18" t="s">
        <v>4739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 spans="1:20" x14ac:dyDescent="0.2">
      <c r="A55" s="11"/>
      <c r="B55" s="11" t="s">
        <v>4759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">
      <c r="A56" s="11"/>
      <c r="B56" s="11" t="s">
        <v>4760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">
      <c r="A57" s="11"/>
      <c r="B57" s="11" t="s">
        <v>4761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">
      <c r="A58" s="11"/>
      <c r="B58" s="11" t="s">
        <v>4762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">
      <c r="A59" s="11"/>
      <c r="B59" s="11" t="s">
        <v>4740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Report &amp; Insights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2025-06-21T13:19:12Z</dcterms:created>
  <dcterms:modified xsi:type="dcterms:W3CDTF">2025-06-21T13:19:12Z</dcterms:modified>
</cp:coreProperties>
</file>